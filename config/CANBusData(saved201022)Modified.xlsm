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D02AA945-F244-4DED-B524-9AC384E15BFA}" xr6:coauthVersionLast="47" xr6:coauthVersionMax="47" xr10:uidLastSave="{00000000-0000-0000-0000-000000000000}"/>
  <bookViews>
    <workbookView xWindow="-108" yWindow="-108" windowWidth="23256" windowHeight="1257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1" i="1" l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/>
  <c r="Y23" i="1" a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/>
  <c r="AA21" i="1" a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/>
  <c r="AA19" i="1" a="1"/>
  <c r="Z19" i="1"/>
  <c r="Z19" i="1" a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/>
  <c r="AA18" i="1" a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/>
  <c r="Z17" i="1" a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/>
  <c r="AA13" i="1" a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31" i="1" a="1"/>
  <c r="X31" i="1" a="1"/>
  <c r="Z31" i="1" a="1"/>
  <c r="W31" i="1" a="1"/>
  <c r="V31" i="1" a="1"/>
  <c r="S31" i="1" a="1"/>
  <c r="AE31" i="1" a="1"/>
  <c r="AC31" i="1" a="1"/>
  <c r="AB31" i="1" a="1"/>
  <c r="V28" i="1" a="1"/>
  <c r="V19" i="1" a="1"/>
  <c r="X14" i="1" a="1"/>
  <c r="AB18" i="1" a="1"/>
  <c r="S14" i="1" a="1"/>
  <c r="AB26" i="1" a="1"/>
  <c r="S13" i="1" a="1"/>
  <c r="Z28" i="1" a="1"/>
  <c r="W27" i="1" a="1"/>
  <c r="AD13" i="1" a="1"/>
  <c r="W14" i="1" a="1"/>
  <c r="AB23" i="1" a="1"/>
  <c r="S18" i="1" a="1"/>
  <c r="AB22" i="1" a="1"/>
  <c r="S22" i="1" a="1"/>
  <c r="AB15" i="1" a="1"/>
  <c r="AC28" i="1" a="1"/>
  <c r="X13" i="1" a="1"/>
  <c r="S25" i="1" a="1"/>
  <c r="V23" i="1" a="1"/>
  <c r="V16" i="1" a="1"/>
  <c r="V22" i="1" a="1"/>
  <c r="AB25" i="1" a="1"/>
  <c r="X28" i="1" a="1"/>
  <c r="AB24" i="1" a="1"/>
  <c r="W17" i="1" a="1"/>
  <c r="AB21" i="1" a="1"/>
  <c r="W28" i="1" a="1"/>
  <c r="S20" i="1" a="1"/>
  <c r="S17" i="1" a="1"/>
  <c r="W26" i="1" a="1"/>
  <c r="X23" i="1" a="1"/>
  <c r="V29" i="1" a="1"/>
  <c r="Z13" i="1" a="1"/>
  <c r="W29" i="1" a="1"/>
  <c r="V13" i="1" a="1"/>
  <c r="W23" i="1" a="1"/>
  <c r="S19" i="1" a="1"/>
  <c r="X25" i="1" a="1"/>
  <c r="X20" i="1" a="1"/>
  <c r="V25" i="1" a="1"/>
  <c r="AB27" i="1" a="1"/>
  <c r="X17" i="1" a="1"/>
  <c r="AB20" i="1" a="1"/>
  <c r="AB12" i="1" a="1"/>
  <c r="W21" i="1" a="1"/>
  <c r="S16" i="1" a="1"/>
  <c r="AE13" i="1" a="1"/>
  <c r="AB14" i="1" a="1"/>
  <c r="X21" i="1" a="1"/>
  <c r="W13" i="1" a="1"/>
  <c r="S27" i="1" a="1"/>
  <c r="X12" i="1" a="1"/>
  <c r="S24" i="1" a="1"/>
  <c r="S21" i="1" a="1"/>
  <c r="X15" i="1" a="1"/>
  <c r="AB19" i="1" a="1"/>
  <c r="W12" i="1" a="1"/>
  <c r="AC29" i="1" a="1"/>
  <c r="AB29" i="1" a="1"/>
  <c r="V24" i="1" a="1"/>
  <c r="S15" i="1" a="1"/>
  <c r="AB13" i="1" a="1"/>
  <c r="AB17" i="1" a="1"/>
  <c r="W25" i="1" a="1"/>
  <c r="W19" i="1" a="1"/>
  <c r="X27" i="1" a="1"/>
  <c r="V17" i="1" a="1"/>
  <c r="V27" i="1" a="1"/>
  <c r="W18" i="1" a="1"/>
  <c r="W16" i="1" a="1"/>
  <c r="W15" i="1" a="1"/>
  <c r="V12" i="1" a="1"/>
  <c r="AB28" i="1" a="1"/>
  <c r="X22" i="1" a="1"/>
  <c r="V18" i="1" a="1"/>
  <c r="S23" i="1" a="1"/>
  <c r="X29" i="1" a="1"/>
  <c r="X19" i="1" a="1"/>
  <c r="W22" i="1" a="1"/>
  <c r="S26" i="1" a="1"/>
  <c r="V14" i="1" a="1"/>
  <c r="V26" i="1" a="1"/>
  <c r="AB16" i="1" a="1"/>
  <c r="X16" i="1" a="1"/>
  <c r="W20" i="1" a="1"/>
  <c r="X24" i="1" a="1"/>
  <c r="S12" i="1" a="1"/>
  <c r="X18" i="1" a="1"/>
  <c r="X26" i="1" a="1"/>
  <c r="W24" i="1" a="1"/>
  <c r="Z29" i="1" a="1"/>
  <c r="S30" i="1" a="1"/>
  <c r="AD28" i="1" a="1"/>
  <c r="AE29" i="1" a="1"/>
  <c r="AD29" i="1" a="1"/>
  <c r="AE28" i="1" a="1"/>
  <c r="AB31" i="1" l="1"/>
  <c r="AC31" i="1"/>
  <c r="AE31" i="1"/>
  <c r="S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S30" i="1"/>
  <c r="T31" i="1" a="1"/>
  <c r="T15" i="1" a="1"/>
  <c r="V30" i="1" a="1"/>
  <c r="T26" i="1" a="1"/>
  <c r="T25" i="1" a="1"/>
  <c r="T27" i="1" a="1"/>
  <c r="T18" i="1" a="1"/>
  <c r="T17" i="1" a="1"/>
  <c r="T19" i="1" a="1"/>
  <c r="T23" i="1" a="1"/>
  <c r="T16" i="1" a="1"/>
  <c r="T29" i="1" a="1"/>
  <c r="T21" i="1" a="1"/>
  <c r="T14" i="1" a="1"/>
  <c r="T20" i="1" a="1"/>
  <c r="T24" i="1" a="1"/>
  <c r="T13" i="1" a="1"/>
  <c r="T12" i="1" a="1"/>
  <c r="T22" i="1" a="1"/>
  <c r="T28" i="1" a="1"/>
  <c r="T31" i="1" l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W30" i="1" a="1"/>
  <c r="Z30" i="1" a="1"/>
  <c r="AC30" i="1" a="1"/>
  <c r="X30" i="1" a="1"/>
  <c r="AB30" i="1" a="1"/>
  <c r="Z30" i="1" l="1"/>
  <c r="W30" i="1"/>
  <c r="AB30" i="1"/>
  <c r="X30" i="1"/>
  <c r="AC30" i="1"/>
  <c r="F32" i="1"/>
  <c r="P32" i="1"/>
  <c r="Q32" i="1"/>
  <c r="Y32" i="1" a="1"/>
  <c r="AA32" i="1" a="1"/>
  <c r="AC32" i="1" a="1"/>
  <c r="V32" i="1" a="1"/>
  <c r="AB32" i="1" a="1"/>
  <c r="X32" i="1" a="1"/>
  <c r="W32" i="1" a="1"/>
  <c r="S32" i="1" a="1"/>
  <c r="Z32" i="1" a="1"/>
  <c r="AD30" i="1" a="1"/>
  <c r="AD32" i="1" a="1"/>
  <c r="AE30" i="1" a="1"/>
  <c r="T30" i="1" a="1"/>
  <c r="AA32" i="1" l="1"/>
  <c r="Y32" i="1"/>
  <c r="AD30" i="1"/>
  <c r="Z32" i="1"/>
  <c r="AB32" i="1"/>
  <c r="V32" i="1"/>
  <c r="AC32" i="1"/>
  <c r="X32" i="1"/>
  <c r="T30" i="1"/>
  <c r="S32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8" i="1"/>
  <c r="F37" i="1"/>
  <c r="F36" i="1"/>
  <c r="F35" i="1"/>
  <c r="F8" i="1"/>
  <c r="F9" i="1"/>
  <c r="F7" i="1"/>
  <c r="F11" i="1"/>
  <c r="F2" i="1"/>
  <c r="F10" i="1"/>
  <c r="Q10" i="1"/>
  <c r="P10" i="1"/>
  <c r="Q37" i="1"/>
  <c r="AI38" i="1"/>
  <c r="Q11" i="1"/>
  <c r="Q36" i="1"/>
  <c r="Q2" i="1"/>
  <c r="Q40" i="1"/>
  <c r="P37" i="1"/>
  <c r="AH38" i="1"/>
  <c r="P11" i="1"/>
  <c r="P36" i="1"/>
  <c r="P2" i="1"/>
  <c r="P40" i="1"/>
  <c r="V5" i="1" a="1"/>
  <c r="X4" i="1" a="1"/>
  <c r="V2" i="1" a="1"/>
  <c r="W7" i="1" a="1"/>
  <c r="W5" i="1" a="1"/>
  <c r="X10" i="1" a="1"/>
  <c r="X2" i="1" a="1"/>
  <c r="Y7" i="1" a="1"/>
  <c r="AB7" i="1" a="1"/>
  <c r="W10" i="1" a="1"/>
  <c r="V9" i="1" a="1"/>
  <c r="AA2" i="1" a="1"/>
  <c r="AB3" i="1" a="1"/>
  <c r="S10" i="1" a="1"/>
  <c r="V6" i="1" a="1"/>
  <c r="W8" i="1" a="1"/>
  <c r="S5" i="1" a="1"/>
  <c r="S7" i="1" a="1"/>
  <c r="W11" i="1" a="1"/>
  <c r="W2" i="1" a="1"/>
  <c r="AB10" i="1" a="1"/>
  <c r="AC2" i="1" a="1"/>
  <c r="S9" i="1" a="1"/>
  <c r="AB11" i="1" a="1"/>
  <c r="Z2" i="1" a="1"/>
  <c r="AB4" i="1" a="1"/>
  <c r="X9" i="1" a="1"/>
  <c r="AD2" i="1" a="1"/>
  <c r="X8" i="1" a="1"/>
  <c r="Y2" i="1" a="1"/>
  <c r="W9" i="1" a="1"/>
  <c r="AB6" i="1" a="1"/>
  <c r="V4" i="1" a="1"/>
  <c r="AB9" i="1" a="1"/>
  <c r="AD7" i="1" a="1"/>
  <c r="S4" i="1" a="1"/>
  <c r="X5" i="1" a="1"/>
  <c r="W6" i="1" a="1"/>
  <c r="W4" i="1" a="1"/>
  <c r="V3" i="1" a="1"/>
  <c r="V7" i="1" a="1"/>
  <c r="X11" i="1" a="1"/>
  <c r="AA7" i="1" a="1"/>
  <c r="AE7" i="1" a="1"/>
  <c r="X6" i="1" a="1"/>
  <c r="S6" i="1" a="1"/>
  <c r="AE2" i="1" a="1"/>
  <c r="Z7" i="1" a="1"/>
  <c r="S2" i="1" a="1"/>
  <c r="S11" i="1" a="1"/>
  <c r="S8" i="1" a="1"/>
  <c r="AC7" i="1" a="1"/>
  <c r="AB2" i="1" a="1"/>
  <c r="V8" i="1" a="1"/>
  <c r="AB8" i="1" a="1"/>
  <c r="V11" i="1" a="1"/>
  <c r="W3" i="1" a="1"/>
  <c r="S3" i="1" a="1"/>
  <c r="X3" i="1" a="1"/>
  <c r="X7" i="1" a="1"/>
  <c r="AB5" i="1" a="1"/>
  <c r="V10" i="1" a="1"/>
  <c r="T32" i="1" a="1"/>
  <c r="AE32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3" i="1" a="1"/>
  <c r="T11" i="1" a="1"/>
  <c r="T10" i="1" a="1"/>
  <c r="T7" i="1" a="1"/>
  <c r="T6" i="1" a="1"/>
  <c r="T8" i="1" a="1"/>
  <c r="T9" i="1" a="1"/>
  <c r="T4" i="1" a="1"/>
  <c r="T5" i="1" a="1"/>
  <c r="T2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<sst xmlns="http://schemas.openxmlformats.org/spreadsheetml/2006/main" count="708" uniqueCount="323">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</sst>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topLeftCell="F1" zoomScaleNormal="100" workbookViewId="0">
      <pane ySplit="1" topLeftCell="A9" activePane="bottomLeft" state="frozen"/>
      <selection pane="bottomLeft" activeCell="H32" sqref="H32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796875" style="1" customWidth="1"/>
    <col min="7" max="7" width="8.09765625" style="1" bestFit="1" customWidth="1"/>
    <col min="8" max="8" width="16.09765625" style="2" bestFit="1" customWidth="1"/>
    <col min="9" max="9" width="15.69921875" style="2" bestFit="1" customWidth="1"/>
    <col min="10" max="10" width="19.19921875" style="2" bestFit="1" customWidth="1"/>
    <col min="11" max="11" width="13.796875" style="2" bestFit="1" customWidth="1"/>
    <col min="12" max="12" width="22.69921875" style="2" customWidth="1"/>
    <col min="13" max="13" width="22.296875" style="2" customWidth="1"/>
    <col min="14" max="14" width="9" style="2" bestFit="1" customWidth="1"/>
    <col min="15" max="15" width="12.296875" style="2" bestFit="1" customWidth="1"/>
    <col min="16" max="16" width="6.19921875" style="2" bestFit="1" customWidth="1"/>
    <col min="17" max="17" width="13.296875" style="2" bestFit="1" customWidth="1"/>
    <col min="18" max="18" width="37.796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796875" style="2" customWidth="1"/>
    <col min="25" max="25" width="14.59765625" style="2" customWidth="1"/>
    <col min="26" max="26" width="18.296875" style="2" customWidth="1"/>
    <col min="27" max="27" width="16.19921875" style="2" customWidth="1"/>
    <col min="28" max="28" width="16.69921875" style="2" customWidth="1"/>
    <col min="29" max="29" width="11.796875" style="2" customWidth="1"/>
    <col min="30" max="30" width="10.69921875" style="2"/>
    <col min="31" max="31" width="11.796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155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99</v>
      </c>
      <c r="S1" s="17" t="s">
        <v>235</v>
      </c>
      <c r="T1" s="17" t="s">
        <v>242</v>
      </c>
      <c r="U1" s="16" t="s">
        <v>260</v>
      </c>
      <c r="V1" s="17" t="s">
        <v>277</v>
      </c>
      <c r="W1" s="16" t="s">
        <v>278</v>
      </c>
      <c r="X1" s="16" t="s">
        <v>279</v>
      </c>
      <c r="Y1" s="16" t="s">
        <v>280</v>
      </c>
      <c r="Z1" s="16" t="s">
        <v>281</v>
      </c>
      <c r="AA1" s="16" t="s">
        <v>282</v>
      </c>
      <c r="AB1" s="16" t="s">
        <v>283</v>
      </c>
      <c r="AC1" s="16" t="s">
        <v>284</v>
      </c>
      <c r="AD1" s="16" t="s">
        <v>285</v>
      </c>
      <c r="AE1" s="16" t="s">
        <v>286</v>
      </c>
    </row>
    <row r="2" spans="1:31" x14ac:dyDescent="0.3">
      <c r="A2" s="2" t="s">
        <v>38</v>
      </c>
      <c r="B2" s="2" t="s">
        <v>203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217</v>
      </c>
      <c r="I2" s="2" t="s">
        <v>210</v>
      </c>
      <c r="J2" s="2" t="s">
        <v>211</v>
      </c>
      <c r="K2" s="2" t="s">
        <v>212</v>
      </c>
      <c r="L2" s="2" t="s">
        <v>213</v>
      </c>
      <c r="M2" s="2" t="s">
        <v>214</v>
      </c>
      <c r="N2" s="2" t="s">
        <v>215</v>
      </c>
      <c r="O2" s="2" t="s">
        <v>216</v>
      </c>
      <c r="P2" s="3">
        <f>IF(ISBLANK(D2),"",1/D2)</f>
        <v>0.5</v>
      </c>
      <c r="Q2" s="3">
        <f>IF(ISBLANK(D2),"",G2/D2)</f>
        <v>4</v>
      </c>
      <c r="R2" s="13" t="s">
        <v>243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38</v>
      </c>
      <c r="B3" s="2" t="s">
        <v>204</v>
      </c>
      <c r="C3" s="2" t="s">
        <v>39</v>
      </c>
      <c r="D3" s="1">
        <v>2</v>
      </c>
      <c r="E3" s="1" t="s">
        <v>200</v>
      </c>
      <c r="F3" s="1">
        <f t="shared" si="0"/>
        <v>247</v>
      </c>
      <c r="G3" s="1">
        <v>8</v>
      </c>
      <c r="H3" s="2" t="s">
        <v>209</v>
      </c>
      <c r="I3" s="2" t="s">
        <v>29</v>
      </c>
      <c r="J3" s="2" t="s">
        <v>29</v>
      </c>
      <c r="K3" s="2" t="s">
        <v>29</v>
      </c>
      <c r="L3" s="2" t="s">
        <v>218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226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38</v>
      </c>
      <c r="B4" s="2" t="s">
        <v>205</v>
      </c>
      <c r="C4" s="2" t="s">
        <v>39</v>
      </c>
      <c r="D4" s="1">
        <v>2</v>
      </c>
      <c r="E4" s="1" t="s">
        <v>201</v>
      </c>
      <c r="F4" s="1">
        <f t="shared" si="0"/>
        <v>248</v>
      </c>
      <c r="G4" s="1">
        <v>5</v>
      </c>
      <c r="H4" s="2" t="s">
        <v>219</v>
      </c>
      <c r="I4" s="2" t="s">
        <v>29</v>
      </c>
      <c r="J4" s="2" t="s">
        <v>29</v>
      </c>
      <c r="K4" s="2" t="s">
        <v>29</v>
      </c>
      <c r="L4" s="2" t="s">
        <v>221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228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38</v>
      </c>
      <c r="B5" s="2" t="s">
        <v>206</v>
      </c>
      <c r="C5" s="2" t="s">
        <v>39</v>
      </c>
      <c r="D5" s="1">
        <v>2</v>
      </c>
      <c r="E5" s="1" t="s">
        <v>202</v>
      </c>
      <c r="F5" s="1">
        <f t="shared" si="0"/>
        <v>249</v>
      </c>
      <c r="G5" s="1">
        <v>5</v>
      </c>
      <c r="H5" s="2" t="s">
        <v>220</v>
      </c>
      <c r="I5" s="2" t="s">
        <v>29</v>
      </c>
      <c r="J5" s="2" t="s">
        <v>29</v>
      </c>
      <c r="K5" s="2" t="s">
        <v>29</v>
      </c>
      <c r="L5" s="2" t="s">
        <v>222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228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38</v>
      </c>
      <c r="B6" s="2" t="s">
        <v>208</v>
      </c>
      <c r="C6" s="2" t="s">
        <v>39</v>
      </c>
      <c r="D6" s="1">
        <v>2</v>
      </c>
      <c r="E6" s="1" t="s">
        <v>207</v>
      </c>
      <c r="F6" s="1">
        <f t="shared" si="0"/>
        <v>250</v>
      </c>
      <c r="G6" s="1">
        <v>5</v>
      </c>
      <c r="H6" s="2" t="s">
        <v>223</v>
      </c>
      <c r="I6" s="2" t="s">
        <v>29</v>
      </c>
      <c r="J6" s="2" t="s">
        <v>29</v>
      </c>
      <c r="K6" s="2" t="s">
        <v>29</v>
      </c>
      <c r="L6" s="2" t="s">
        <v>224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244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38</v>
      </c>
      <c r="B7" s="2" t="s">
        <v>157</v>
      </c>
      <c r="C7" s="2" t="s">
        <v>39</v>
      </c>
      <c r="D7" s="1">
        <v>2</v>
      </c>
      <c r="E7" s="1" t="s">
        <v>156</v>
      </c>
      <c r="F7" s="1">
        <f t="shared" ref="F7:F32" si="3">HEX2DEC(RIGHT(E7,LEN(E7)-2))</f>
        <v>273</v>
      </c>
      <c r="G7" s="1">
        <v>8</v>
      </c>
      <c r="H7" s="2" t="s">
        <v>182</v>
      </c>
      <c r="I7" s="2" t="s">
        <v>183</v>
      </c>
      <c r="J7" s="2" t="s">
        <v>184</v>
      </c>
      <c r="K7" s="2" t="s">
        <v>185</v>
      </c>
      <c r="L7" s="2" t="s">
        <v>186</v>
      </c>
      <c r="M7" s="2" t="s">
        <v>232</v>
      </c>
      <c r="N7" s="2" t="s">
        <v>233</v>
      </c>
      <c r="O7" s="2" t="s">
        <v>234</v>
      </c>
      <c r="P7" s="3">
        <f t="shared" si="1"/>
        <v>0.5</v>
      </c>
      <c r="Q7" s="3">
        <f t="shared" si="2"/>
        <v>4</v>
      </c>
      <c r="R7" s="15" t="s">
        <v>243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38</v>
      </c>
      <c r="B8" s="12" t="s">
        <v>189</v>
      </c>
      <c r="C8" s="2" t="s">
        <v>158</v>
      </c>
      <c r="E8" s="1" t="s">
        <v>163</v>
      </c>
      <c r="F8" s="1">
        <f t="shared" si="3"/>
        <v>433</v>
      </c>
      <c r="G8" s="1">
        <v>8</v>
      </c>
      <c r="H8" s="2" t="s">
        <v>159</v>
      </c>
      <c r="I8" s="2" t="s">
        <v>29</v>
      </c>
      <c r="J8" s="2" t="s">
        <v>29</v>
      </c>
      <c r="K8" s="2" t="s">
        <v>29</v>
      </c>
      <c r="L8" s="2" t="s">
        <v>160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226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38</v>
      </c>
      <c r="B9" s="12" t="s">
        <v>190</v>
      </c>
      <c r="C9" s="2" t="s">
        <v>158</v>
      </c>
      <c r="E9" s="1" t="s">
        <v>164</v>
      </c>
      <c r="F9" s="1">
        <f t="shared" si="3"/>
        <v>434</v>
      </c>
      <c r="G9" s="1">
        <v>8</v>
      </c>
      <c r="H9" s="2" t="s">
        <v>162</v>
      </c>
      <c r="I9" s="2" t="s">
        <v>29</v>
      </c>
      <c r="J9" s="2" t="s">
        <v>29</v>
      </c>
      <c r="K9" s="2" t="s">
        <v>29</v>
      </c>
      <c r="L9" s="2" t="s">
        <v>161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229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180</v>
      </c>
      <c r="I10" s="2" t="s">
        <v>29</v>
      </c>
      <c r="J10" s="2" t="s">
        <v>29</v>
      </c>
      <c r="K10" s="2" t="s">
        <v>29</v>
      </c>
      <c r="L10" s="2" t="s">
        <v>181</v>
      </c>
      <c r="M10" s="2" t="s">
        <v>29</v>
      </c>
      <c r="N10" s="2" t="s">
        <v>29</v>
      </c>
      <c r="O10" s="2" t="s">
        <v>29</v>
      </c>
      <c r="P10" s="3">
        <f t="shared" ref="P10:P32" si="4">IF(ISBLANK(D10),"",1/D10)</f>
        <v>10</v>
      </c>
      <c r="Q10" s="3">
        <f t="shared" ref="Q10:Q32" si="5">IF(ISBLANK(D10),"",G10/D10)</f>
        <v>80</v>
      </c>
      <c r="R10" s="7" t="s">
        <v>226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276</v>
      </c>
      <c r="I11" s="2" t="s">
        <v>33</v>
      </c>
      <c r="J11" s="2" t="s">
        <v>33</v>
      </c>
      <c r="K11" s="2" t="s">
        <v>33</v>
      </c>
      <c r="L11" s="2" t="s">
        <v>275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226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167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258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171</v>
      </c>
      <c r="I13" s="2" t="s">
        <v>29</v>
      </c>
      <c r="J13" s="2" t="s">
        <v>170</v>
      </c>
      <c r="K13" s="2" t="s">
        <v>29</v>
      </c>
      <c r="L13" s="2" t="s">
        <v>169</v>
      </c>
      <c r="M13" s="2" t="s">
        <v>29</v>
      </c>
      <c r="N13" s="2" t="s">
        <v>292</v>
      </c>
      <c r="O13" s="2" t="s">
        <v>293</v>
      </c>
      <c r="P13" s="3">
        <f t="shared" si="4"/>
        <v>5</v>
      </c>
      <c r="Q13" s="3">
        <f t="shared" si="5"/>
        <v>40</v>
      </c>
      <c r="R13" s="8" t="s">
        <v>294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38</v>
      </c>
      <c r="B14" s="2" t="s">
        <v>173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274</v>
      </c>
      <c r="I14" s="2" t="s">
        <v>29</v>
      </c>
      <c r="J14" s="2" t="s">
        <v>29</v>
      </c>
      <c r="K14" s="2" t="s">
        <v>29</v>
      </c>
      <c r="L14" s="2" t="s">
        <v>262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226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38</v>
      </c>
      <c r="B15" s="2" t="s">
        <v>295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273</v>
      </c>
      <c r="I15" s="2" t="s">
        <v>29</v>
      </c>
      <c r="J15" s="2" t="s">
        <v>29</v>
      </c>
      <c r="K15" s="2" t="s">
        <v>29</v>
      </c>
      <c r="L15" s="2" t="s">
        <v>263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226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261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38</v>
      </c>
      <c r="B16" s="2" t="s">
        <v>65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272</v>
      </c>
      <c r="I16" s="2" t="s">
        <v>29</v>
      </c>
      <c r="J16" s="2" t="s">
        <v>29</v>
      </c>
      <c r="K16" s="2" t="s">
        <v>29</v>
      </c>
      <c r="L16" s="2" t="s">
        <v>296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226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38</v>
      </c>
      <c r="B17" s="2" t="s">
        <v>66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271</v>
      </c>
      <c r="I17" s="2" t="s">
        <v>29</v>
      </c>
      <c r="J17" s="2" t="s">
        <v>29</v>
      </c>
      <c r="K17" s="2" t="s">
        <v>29</v>
      </c>
      <c r="L17" s="2" t="s">
        <v>264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226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38</v>
      </c>
      <c r="B18" s="2" t="s">
        <v>67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270</v>
      </c>
      <c r="I18" s="2" t="s">
        <v>29</v>
      </c>
      <c r="J18" s="2" t="s">
        <v>29</v>
      </c>
      <c r="K18" s="2" t="s">
        <v>29</v>
      </c>
      <c r="L18" s="2" t="s">
        <v>265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226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38</v>
      </c>
      <c r="B19" s="2" t="s">
        <v>68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297</v>
      </c>
      <c r="I19" s="2" t="s">
        <v>29</v>
      </c>
      <c r="J19" s="2" t="s">
        <v>29</v>
      </c>
      <c r="K19" s="2" t="s">
        <v>29</v>
      </c>
      <c r="L19" s="2" t="s">
        <v>298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226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38</v>
      </c>
      <c r="B20" s="2" t="s">
        <v>299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168</v>
      </c>
      <c r="I20" s="2" t="s">
        <v>29</v>
      </c>
      <c r="J20" s="2" t="s">
        <v>29</v>
      </c>
      <c r="K20" s="2" t="s">
        <v>29</v>
      </c>
      <c r="L20" s="2" t="s">
        <v>266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226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300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38</v>
      </c>
      <c r="B21" s="2" t="s">
        <v>301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302</v>
      </c>
      <c r="I21" s="2" t="s">
        <v>29</v>
      </c>
      <c r="J21" s="2" t="s">
        <v>29</v>
      </c>
      <c r="K21" s="2" t="s">
        <v>29</v>
      </c>
      <c r="L21" s="2" t="s">
        <v>303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226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304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37</v>
      </c>
      <c r="B22" s="2" t="s">
        <v>168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168</v>
      </c>
      <c r="I22" s="2" t="s">
        <v>29</v>
      </c>
      <c r="J22" s="2" t="s">
        <v>29</v>
      </c>
      <c r="K22" s="2" t="s">
        <v>29</v>
      </c>
      <c r="L22" s="2" t="s">
        <v>168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226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38</v>
      </c>
      <c r="B23" s="2" t="s">
        <v>69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269</v>
      </c>
      <c r="I23" s="2" t="s">
        <v>29</v>
      </c>
      <c r="J23" s="2" t="s">
        <v>29</v>
      </c>
      <c r="K23" s="2" t="s">
        <v>29</v>
      </c>
      <c r="L23" s="2" t="s">
        <v>267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226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38</v>
      </c>
      <c r="B24" s="2" t="s">
        <v>305</v>
      </c>
      <c r="C24" s="2" t="s">
        <v>16</v>
      </c>
      <c r="D24" s="1">
        <v>1</v>
      </c>
      <c r="E24" s="1" t="s">
        <v>60</v>
      </c>
      <c r="F24" s="1">
        <f t="shared" si="3"/>
        <v>1548</v>
      </c>
      <c r="G24" s="1">
        <v>8</v>
      </c>
      <c r="H24" s="2" t="s">
        <v>306</v>
      </c>
      <c r="I24" s="2" t="s">
        <v>29</v>
      </c>
      <c r="J24" s="2" t="s">
        <v>29</v>
      </c>
      <c r="K24" s="2" t="s">
        <v>29</v>
      </c>
      <c r="L24" s="2" t="s">
        <v>168</v>
      </c>
      <c r="M24" s="2" t="s">
        <v>29</v>
      </c>
      <c r="N24" s="2" t="s">
        <v>29</v>
      </c>
      <c r="O24" s="2" t="s">
        <v>29</v>
      </c>
      <c r="P24" s="3">
        <f t="shared" si="4"/>
        <v>1</v>
      </c>
      <c r="Q24" s="3">
        <f t="shared" si="5"/>
        <v>8</v>
      </c>
      <c r="R24" s="7" t="s">
        <v>226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37</v>
      </c>
      <c r="B25" s="2" t="s">
        <v>168</v>
      </c>
      <c r="C25" s="2" t="s">
        <v>16</v>
      </c>
      <c r="D25" s="1">
        <v>1</v>
      </c>
      <c r="E25" s="1" t="s">
        <v>61</v>
      </c>
      <c r="F25" s="1">
        <f t="shared" si="3"/>
        <v>1549</v>
      </c>
      <c r="G25" s="1">
        <v>8</v>
      </c>
      <c r="H25" s="2" t="s">
        <v>168</v>
      </c>
      <c r="I25" s="2" t="s">
        <v>29</v>
      </c>
      <c r="J25" s="2" t="s">
        <v>29</v>
      </c>
      <c r="K25" s="2" t="s">
        <v>29</v>
      </c>
      <c r="L25" s="2" t="s">
        <v>168</v>
      </c>
      <c r="M25" s="2" t="s">
        <v>29</v>
      </c>
      <c r="N25" s="2" t="s">
        <v>29</v>
      </c>
      <c r="O25" s="2" t="s">
        <v>29</v>
      </c>
      <c r="P25" s="3">
        <f t="shared" si="4"/>
        <v>1</v>
      </c>
      <c r="Q25" s="3">
        <f t="shared" si="5"/>
        <v>8</v>
      </c>
      <c r="R25" s="7" t="s">
        <v>226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38</v>
      </c>
      <c r="B26" s="2" t="s">
        <v>70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96</v>
      </c>
      <c r="I26" s="2" t="s">
        <v>29</v>
      </c>
      <c r="J26" s="2" t="s">
        <v>29</v>
      </c>
      <c r="K26" s="2" t="s">
        <v>29</v>
      </c>
      <c r="L26" s="2" t="s">
        <v>268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226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38</v>
      </c>
      <c r="B27" s="2" t="s">
        <v>307</v>
      </c>
      <c r="C27" s="2" t="s">
        <v>16</v>
      </c>
      <c r="D27" s="1">
        <v>0.2</v>
      </c>
      <c r="E27" s="1" t="s">
        <v>308</v>
      </c>
      <c r="F27" s="1">
        <f t="shared" si="3"/>
        <v>1559</v>
      </c>
      <c r="G27" s="1">
        <v>8</v>
      </c>
      <c r="H27" s="2" t="s">
        <v>168</v>
      </c>
      <c r="I27" s="2" t="s">
        <v>29</v>
      </c>
      <c r="J27" s="2" t="s">
        <v>29</v>
      </c>
      <c r="K27" s="2" t="s">
        <v>29</v>
      </c>
      <c r="L27" s="2" t="s">
        <v>309</v>
      </c>
      <c r="M27" s="2" t="s">
        <v>29</v>
      </c>
      <c r="N27" s="2" t="s">
        <v>29</v>
      </c>
      <c r="O27" s="2" t="s">
        <v>29</v>
      </c>
      <c r="P27" s="3">
        <f t="shared" si="4"/>
        <v>5</v>
      </c>
      <c r="Q27" s="3">
        <f t="shared" si="5"/>
        <v>40</v>
      </c>
      <c r="R27" s="7" t="s">
        <v>226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38</v>
      </c>
      <c r="B28" s="2" t="s">
        <v>43</v>
      </c>
      <c r="C28" s="2" t="s">
        <v>287</v>
      </c>
      <c r="D28" s="1">
        <v>0.104</v>
      </c>
      <c r="E28" s="1" t="s">
        <v>290</v>
      </c>
      <c r="F28" s="1">
        <f t="shared" ref="F28:F29" si="6">HEX2DEC(RIGHT(E28,LEN(E28)-2))</f>
        <v>1712</v>
      </c>
      <c r="G28" s="1">
        <v>7</v>
      </c>
      <c r="H28" s="2" t="s">
        <v>30</v>
      </c>
      <c r="I28" s="2" t="s">
        <v>29</v>
      </c>
      <c r="J28" s="2" t="s">
        <v>32</v>
      </c>
      <c r="K28" s="2" t="s">
        <v>29</v>
      </c>
      <c r="L28" s="2" t="s">
        <v>28</v>
      </c>
      <c r="M28" s="2" t="s">
        <v>34</v>
      </c>
      <c r="N28" s="2" t="s">
        <v>29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310</v>
      </c>
      <c r="S28" s="18" t="s">
        <v>312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38</v>
      </c>
      <c r="B29" s="2" t="s">
        <v>36</v>
      </c>
      <c r="C29" s="2" t="s">
        <v>287</v>
      </c>
      <c r="D29" s="1">
        <v>0.104</v>
      </c>
      <c r="E29" s="1" t="s">
        <v>291</v>
      </c>
      <c r="F29" s="1">
        <f t="shared" si="6"/>
        <v>1713</v>
      </c>
      <c r="G29" s="1">
        <v>7</v>
      </c>
      <c r="H29" s="2" t="s">
        <v>31</v>
      </c>
      <c r="I29" s="2" t="s">
        <v>29</v>
      </c>
      <c r="J29" s="2" t="s">
        <v>311</v>
      </c>
      <c r="K29" s="2" t="s">
        <v>29</v>
      </c>
      <c r="L29" s="2" t="s">
        <v>288</v>
      </c>
      <c r="M29" s="2" t="s">
        <v>289</v>
      </c>
      <c r="N29" s="2" t="s">
        <v>313</v>
      </c>
      <c r="P29" s="3">
        <f t="shared" si="7"/>
        <v>9.615384615384615</v>
      </c>
      <c r="Q29" s="3">
        <f t="shared" si="8"/>
        <v>67.307692307692307</v>
      </c>
      <c r="R29" s="15" t="s">
        <v>314</v>
      </c>
      <c r="S29" s="18" t="s">
        <v>315</v>
      </c>
      <c r="T29" s="18" t="str" cm="1">
        <f t="array" ref="T29">CStruct(R29,X29:AE29,G29)</f>
        <v>struct canData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38</v>
      </c>
      <c r="B30" s="2" t="s">
        <v>43</v>
      </c>
      <c r="C30" s="2" t="s">
        <v>287</v>
      </c>
      <c r="D30" s="1">
        <v>0.104</v>
      </c>
      <c r="E30" s="1" t="s">
        <v>26</v>
      </c>
      <c r="F30" s="1">
        <f t="shared" si="3"/>
        <v>1792</v>
      </c>
      <c r="G30" s="1">
        <v>7</v>
      </c>
      <c r="H30" s="2" t="s">
        <v>30</v>
      </c>
      <c r="I30" s="2" t="s">
        <v>29</v>
      </c>
      <c r="J30" s="2" t="s">
        <v>32</v>
      </c>
      <c r="K30" s="2" t="s">
        <v>29</v>
      </c>
      <c r="L30" s="2" t="s">
        <v>28</v>
      </c>
      <c r="M30" s="2" t="s">
        <v>34</v>
      </c>
      <c r="N30" s="2" t="s">
        <v>29</v>
      </c>
      <c r="P30" s="3">
        <f t="shared" si="4"/>
        <v>9.615384615384615</v>
      </c>
      <c r="Q30" s="3">
        <f t="shared" si="5"/>
        <v>67.307692307692307</v>
      </c>
      <c r="R30" s="8" t="s">
        <v>310</v>
      </c>
      <c r="S30" s="18" t="str" cm="1">
        <f t="array" ref="S30">structUnpackCode(R30)</f>
        <v>&lt;HHBH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38</v>
      </c>
      <c r="B31" s="2" t="s">
        <v>36</v>
      </c>
      <c r="C31" s="2" t="s">
        <v>287</v>
      </c>
      <c r="D31" s="1">
        <v>0.104</v>
      </c>
      <c r="E31" s="1" t="s">
        <v>27</v>
      </c>
      <c r="F31" s="1">
        <f t="shared" ref="F31" si="9">HEX2DEC(RIGHT(E31,LEN(E31)-2))</f>
        <v>1793</v>
      </c>
      <c r="G31" s="1">
        <v>7</v>
      </c>
      <c r="H31" s="2" t="s">
        <v>31</v>
      </c>
      <c r="I31" s="2" t="s">
        <v>29</v>
      </c>
      <c r="J31" s="2" t="s">
        <v>311</v>
      </c>
      <c r="K31" s="2" t="s">
        <v>29</v>
      </c>
      <c r="L31" s="2" t="s">
        <v>288</v>
      </c>
      <c r="M31" s="2" t="s">
        <v>289</v>
      </c>
      <c r="N31" s="2" t="s">
        <v>313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314</v>
      </c>
      <c r="S31" s="18" t="str" cm="1">
        <f t="array" ref="S31">structUnpackCode(R31)</f>
        <v>&lt;hhbbb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38</v>
      </c>
      <c r="B32" s="2" t="s">
        <v>36</v>
      </c>
      <c r="C32" s="2" t="s">
        <v>287</v>
      </c>
      <c r="D32" s="1">
        <v>0.104</v>
      </c>
      <c r="E32" s="1" t="s">
        <v>316</v>
      </c>
      <c r="F32" s="1">
        <f t="shared" si="3"/>
        <v>1794</v>
      </c>
      <c r="G32" s="1">
        <v>7</v>
      </c>
      <c r="H32" s="2" t="s">
        <v>317</v>
      </c>
      <c r="I32" s="2" t="s">
        <v>318</v>
      </c>
      <c r="J32" s="2" t="s">
        <v>319</v>
      </c>
      <c r="K32" s="2" t="s">
        <v>320</v>
      </c>
      <c r="L32" s="2" t="s">
        <v>321</v>
      </c>
      <c r="M32" s="2" t="s">
        <v>313</v>
      </c>
      <c r="N32" s="2" t="s">
        <v>313</v>
      </c>
      <c r="P32" s="3">
        <f t="shared" si="4"/>
        <v>9.615384615384615</v>
      </c>
      <c r="Q32" s="3">
        <f t="shared" si="5"/>
        <v>67.307692307692307</v>
      </c>
      <c r="R32" s="15" t="s">
        <v>322</v>
      </c>
      <c r="S32" s="18" t="str" cm="1">
        <f t="array" ref="S32">structUnpackCode(R32)</f>
        <v>&lt;bbbbbbb</v>
      </c>
      <c r="T32" s="18" t="str" cm="1">
        <f t="array" ref="T32">CStruct(R32,X32:AE32,G32)</f>
        <v>struct canData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225</v>
      </c>
      <c r="B33" s="2" t="s">
        <v>231</v>
      </c>
      <c r="S33"/>
      <c r="T33"/>
      <c r="U33"/>
    </row>
    <row r="35" spans="1:36" x14ac:dyDescent="0.3">
      <c r="A35" s="2" t="s">
        <v>40</v>
      </c>
      <c r="B35" s="2" t="s">
        <v>175</v>
      </c>
      <c r="C35" s="2" t="s">
        <v>39</v>
      </c>
      <c r="E35" s="1" t="s">
        <v>165</v>
      </c>
      <c r="F35" s="1">
        <f>HEX2DEC(RIGHT(E35,LEN(E35)-2))</f>
        <v>1809</v>
      </c>
      <c r="G35" s="1">
        <v>8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3" t="str">
        <f>IF(ISBLANK(D35),"",1/D35)</f>
        <v/>
      </c>
      <c r="Q35" s="3"/>
      <c r="R35" s="2" t="s">
        <v>177</v>
      </c>
    </row>
    <row r="36" spans="1:36" x14ac:dyDescent="0.3">
      <c r="A36" s="2" t="s">
        <v>40</v>
      </c>
      <c r="B36" s="2" t="s">
        <v>176</v>
      </c>
      <c r="C36" s="2" t="s">
        <v>39</v>
      </c>
      <c r="E36" s="1" t="s">
        <v>166</v>
      </c>
      <c r="F36" s="1">
        <f>HEX2DEC(RIGHT(E36,LEN(E36)-2))</f>
        <v>1810</v>
      </c>
      <c r="G36" s="1">
        <v>8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3" t="str">
        <f>IF(ISBLANK(D36),"",1/D36)</f>
        <v/>
      </c>
      <c r="Q36" s="3" t="str">
        <f>IF(ISBLANK(D36),"",G36/D36)</f>
        <v/>
      </c>
      <c r="R36" s="2" t="s">
        <v>177</v>
      </c>
    </row>
    <row r="37" spans="1:36" x14ac:dyDescent="0.3">
      <c r="A37" s="2" t="s">
        <v>40</v>
      </c>
      <c r="B37" s="2" t="s">
        <v>174</v>
      </c>
      <c r="C37" s="2" t="s">
        <v>13</v>
      </c>
      <c r="E37" s="1" t="s">
        <v>178</v>
      </c>
      <c r="F37" s="1">
        <f>HEX2DEC(RIGHT(E37,LEN(E37)-2))</f>
        <v>1905</v>
      </c>
      <c r="G37" s="1">
        <v>7</v>
      </c>
      <c r="P37" s="3" t="str">
        <f>IF(ISBLANK(D37),"",1/D37)</f>
        <v/>
      </c>
      <c r="Q37" s="3" t="str">
        <f>IF(ISBLANK(D37),"",G37/D37)</f>
        <v/>
      </c>
      <c r="R37" s="8" t="s">
        <v>230</v>
      </c>
    </row>
    <row r="38" spans="1:36" x14ac:dyDescent="0.3">
      <c r="A38" s="2" t="s">
        <v>40</v>
      </c>
      <c r="B38" s="2" t="s">
        <v>174</v>
      </c>
      <c r="C38" s="2" t="s">
        <v>14</v>
      </c>
      <c r="E38" s="1" t="s">
        <v>179</v>
      </c>
      <c r="F38" s="1">
        <f>HEX2DEC(RIGHT(E38,LEN(E38)-2))</f>
        <v>1906</v>
      </c>
      <c r="G38" s="1">
        <v>7</v>
      </c>
      <c r="T38" s="2" t="s">
        <v>259</v>
      </c>
      <c r="AH38" s="3" t="str">
        <f>IF(ISBLANK(D38),"",1/D38)</f>
        <v/>
      </c>
      <c r="AI38" s="3" t="str">
        <f>IF(ISBLANK(D38),"",G38/D38)</f>
        <v/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198</v>
      </c>
      <c r="H42" s="2" t="s">
        <v>187</v>
      </c>
      <c r="I42" s="2" t="s">
        <v>227</v>
      </c>
    </row>
    <row r="43" spans="1:36" x14ac:dyDescent="0.3">
      <c r="B43" s="2" t="s">
        <v>192</v>
      </c>
      <c r="C43" s="2" t="s">
        <v>39</v>
      </c>
      <c r="E43" s="1" t="s">
        <v>197</v>
      </c>
      <c r="H43" s="12" t="s">
        <v>191</v>
      </c>
    </row>
    <row r="44" spans="1:36" x14ac:dyDescent="0.3">
      <c r="B44" s="2" t="s">
        <v>193</v>
      </c>
      <c r="C44" s="2" t="s">
        <v>39</v>
      </c>
      <c r="E44" s="1" t="s">
        <v>156</v>
      </c>
      <c r="H44" s="12" t="s">
        <v>188</v>
      </c>
    </row>
    <row r="45" spans="1:36" x14ac:dyDescent="0.3">
      <c r="B45" s="2" t="s">
        <v>192</v>
      </c>
      <c r="C45" s="2" t="s">
        <v>194</v>
      </c>
      <c r="E45" s="1" t="s">
        <v>196</v>
      </c>
    </row>
    <row r="46" spans="1:36" x14ac:dyDescent="0.3">
      <c r="B46" s="2" t="s">
        <v>195</v>
      </c>
      <c r="C46" s="2" t="s">
        <v>194</v>
      </c>
      <c r="E46" s="1" t="s">
        <v>45</v>
      </c>
    </row>
    <row r="47" spans="1:36" x14ac:dyDescent="0.3">
      <c r="B47" s="2" t="s">
        <v>199</v>
      </c>
      <c r="C47" s="2" t="s">
        <v>16</v>
      </c>
      <c r="E47" s="1" t="s">
        <v>49</v>
      </c>
    </row>
    <row r="48" spans="1:36" x14ac:dyDescent="0.3">
      <c r="B48" s="2" t="s">
        <v>193</v>
      </c>
      <c r="C48" s="2" t="s">
        <v>16</v>
      </c>
      <c r="E48" s="1" t="s">
        <v>50</v>
      </c>
    </row>
  </sheetData>
  <autoFilter ref="A1:U38" xr:uid="{D7006E8D-471C-FD46-A1D1-22F26DACF42F}"/>
  <phoneticPr fontId="2" type="noConversion"/>
  <conditionalFormatting sqref="H39:H40 L39:L40 L8:O9 H9:K9 L11 I10:L10 H41:O1048576 H1:O2 H7:O7 Z38:AG38 H35:O37 O28:O32">
    <cfRule type="containsText" dxfId="68" priority="92" operator="containsText" text="IN USE">
      <formula>NOT(ISERROR(SEARCH("IN USE",H1)))</formula>
    </cfRule>
  </conditionalFormatting>
  <conditionalFormatting sqref="A2:A11 A35:A41 A49:A1048576 B42:B48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102</v>
      </c>
      <c r="B1" t="s">
        <v>238</v>
      </c>
      <c r="C1" t="s">
        <v>239</v>
      </c>
      <c r="D1" t="s">
        <v>240</v>
      </c>
    </row>
    <row r="2" spans="1:6" x14ac:dyDescent="0.3">
      <c r="A2" t="s">
        <v>236</v>
      </c>
      <c r="B2" t="s">
        <v>236</v>
      </c>
      <c r="C2" t="s">
        <v>253</v>
      </c>
      <c r="D2">
        <v>4</v>
      </c>
    </row>
    <row r="3" spans="1:6" x14ac:dyDescent="0.3">
      <c r="A3" t="s">
        <v>106</v>
      </c>
      <c r="B3" t="s">
        <v>106</v>
      </c>
      <c r="C3" t="s">
        <v>135</v>
      </c>
      <c r="D3">
        <v>1</v>
      </c>
    </row>
    <row r="4" spans="1:6" x14ac:dyDescent="0.3">
      <c r="A4" t="s">
        <v>249</v>
      </c>
      <c r="B4" t="s">
        <v>250</v>
      </c>
      <c r="C4" t="s">
        <v>134</v>
      </c>
      <c r="D4">
        <v>1</v>
      </c>
    </row>
    <row r="5" spans="1:6" x14ac:dyDescent="0.3">
      <c r="A5" t="s">
        <v>237</v>
      </c>
      <c r="B5" t="s">
        <v>100</v>
      </c>
      <c r="C5" t="s">
        <v>128</v>
      </c>
      <c r="D5">
        <v>1</v>
      </c>
    </row>
    <row r="6" spans="1:6" x14ac:dyDescent="0.3">
      <c r="A6" t="s">
        <v>251</v>
      </c>
      <c r="B6" t="s">
        <v>252</v>
      </c>
      <c r="C6" t="s">
        <v>255</v>
      </c>
      <c r="D6">
        <v>2</v>
      </c>
    </row>
    <row r="7" spans="1:6" x14ac:dyDescent="0.3">
      <c r="A7" t="s">
        <v>241</v>
      </c>
      <c r="B7" t="s">
        <v>104</v>
      </c>
      <c r="C7" t="s">
        <v>256</v>
      </c>
      <c r="D7">
        <v>2</v>
      </c>
    </row>
    <row r="8" spans="1:6" x14ac:dyDescent="0.3">
      <c r="A8" t="s">
        <v>245</v>
      </c>
      <c r="B8" t="s">
        <v>246</v>
      </c>
      <c r="C8" t="s">
        <v>254</v>
      </c>
      <c r="D8">
        <v>4</v>
      </c>
    </row>
    <row r="9" spans="1:6" x14ac:dyDescent="0.3">
      <c r="A9" t="s">
        <v>247</v>
      </c>
      <c r="B9" t="s">
        <v>248</v>
      </c>
      <c r="C9" t="s">
        <v>257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101</v>
      </c>
      <c r="C1" s="10" t="s">
        <v>102</v>
      </c>
      <c r="D1" s="10" t="s">
        <v>103</v>
      </c>
      <c r="E1" s="10" t="s">
        <v>132</v>
      </c>
      <c r="F1" s="10" t="s">
        <v>126</v>
      </c>
    </row>
    <row r="2" spans="1:7" x14ac:dyDescent="0.3">
      <c r="A2" t="s">
        <v>138</v>
      </c>
      <c r="B2" t="s">
        <v>18</v>
      </c>
      <c r="C2" t="s">
        <v>100</v>
      </c>
      <c r="D2">
        <v>1</v>
      </c>
      <c r="F2" t="s">
        <v>127</v>
      </c>
      <c r="G2" t="s">
        <v>133</v>
      </c>
    </row>
    <row r="3" spans="1:7" x14ac:dyDescent="0.3">
      <c r="A3" t="s">
        <v>138</v>
      </c>
      <c r="B3" t="s">
        <v>19</v>
      </c>
      <c r="C3" t="s">
        <v>100</v>
      </c>
      <c r="D3">
        <v>1</v>
      </c>
      <c r="F3" t="s">
        <v>127</v>
      </c>
      <c r="G3" t="s">
        <v>133</v>
      </c>
    </row>
    <row r="4" spans="1:7" x14ac:dyDescent="0.3">
      <c r="A4" t="s">
        <v>138</v>
      </c>
      <c r="B4" t="s">
        <v>20</v>
      </c>
      <c r="C4" t="s">
        <v>100</v>
      </c>
      <c r="D4">
        <v>1</v>
      </c>
      <c r="F4" t="s">
        <v>127</v>
      </c>
      <c r="G4" t="s">
        <v>133</v>
      </c>
    </row>
    <row r="5" spans="1:7" x14ac:dyDescent="0.3">
      <c r="A5" t="s">
        <v>138</v>
      </c>
      <c r="B5" t="s">
        <v>21</v>
      </c>
      <c r="C5" t="s">
        <v>104</v>
      </c>
      <c r="D5">
        <v>2</v>
      </c>
      <c r="E5" t="s">
        <v>37</v>
      </c>
    </row>
    <row r="6" spans="1:7" x14ac:dyDescent="0.3">
      <c r="A6" t="s">
        <v>138</v>
      </c>
      <c r="B6" t="s">
        <v>24</v>
      </c>
      <c r="C6" t="s">
        <v>100</v>
      </c>
      <c r="D6">
        <v>1</v>
      </c>
      <c r="F6" t="s">
        <v>127</v>
      </c>
      <c r="G6" t="s">
        <v>133</v>
      </c>
    </row>
    <row r="7" spans="1:7" x14ac:dyDescent="0.3">
      <c r="A7" t="s">
        <v>138</v>
      </c>
      <c r="B7" t="s">
        <v>23</v>
      </c>
      <c r="C7" t="s">
        <v>100</v>
      </c>
      <c r="D7">
        <v>1</v>
      </c>
      <c r="F7" t="s">
        <v>127</v>
      </c>
      <c r="G7" t="s">
        <v>133</v>
      </c>
    </row>
    <row r="8" spans="1:7" x14ac:dyDescent="0.3">
      <c r="A8" t="s">
        <v>138</v>
      </c>
      <c r="B8" t="s">
        <v>22</v>
      </c>
      <c r="C8" t="s">
        <v>100</v>
      </c>
      <c r="D8">
        <v>1</v>
      </c>
      <c r="F8" t="s">
        <v>127</v>
      </c>
      <c r="G8" t="s">
        <v>133</v>
      </c>
    </row>
    <row r="9" spans="1:7" x14ac:dyDescent="0.3">
      <c r="A9" t="s">
        <v>138</v>
      </c>
      <c r="B9" t="s">
        <v>139</v>
      </c>
      <c r="C9" t="s">
        <v>105</v>
      </c>
      <c r="D9">
        <v>4</v>
      </c>
      <c r="F9" t="s">
        <v>128</v>
      </c>
      <c r="G9" t="s">
        <v>134</v>
      </c>
    </row>
    <row r="10" spans="1:7" x14ac:dyDescent="0.3">
      <c r="A10" t="s">
        <v>138</v>
      </c>
      <c r="B10" t="s">
        <v>140</v>
      </c>
      <c r="C10" t="s">
        <v>106</v>
      </c>
      <c r="D10">
        <v>1</v>
      </c>
      <c r="F10" t="s">
        <v>128</v>
      </c>
      <c r="G10" t="s">
        <v>136</v>
      </c>
    </row>
    <row r="11" spans="1:7" x14ac:dyDescent="0.3">
      <c r="A11" t="s">
        <v>138</v>
      </c>
      <c r="B11" t="s">
        <v>141</v>
      </c>
      <c r="C11" t="s">
        <v>105</v>
      </c>
      <c r="D11">
        <v>4</v>
      </c>
      <c r="F11" t="s">
        <v>129</v>
      </c>
      <c r="G11" t="s">
        <v>134</v>
      </c>
    </row>
    <row r="12" spans="1:7" x14ac:dyDescent="0.3">
      <c r="A12" t="s">
        <v>138</v>
      </c>
      <c r="B12" t="s">
        <v>142</v>
      </c>
      <c r="C12" t="s">
        <v>106</v>
      </c>
      <c r="D12">
        <v>1</v>
      </c>
      <c r="F12" t="s">
        <v>129</v>
      </c>
      <c r="G12" t="s">
        <v>136</v>
      </c>
    </row>
    <row r="13" spans="1:7" x14ac:dyDescent="0.3">
      <c r="A13" t="s">
        <v>138</v>
      </c>
      <c r="B13" t="s">
        <v>25</v>
      </c>
      <c r="C13" t="s">
        <v>107</v>
      </c>
      <c r="D13">
        <v>1</v>
      </c>
      <c r="F13" t="s">
        <v>127</v>
      </c>
      <c r="G13" t="s">
        <v>133</v>
      </c>
    </row>
    <row r="14" spans="1:7" x14ac:dyDescent="0.3">
      <c r="A14" t="s">
        <v>138</v>
      </c>
      <c r="B14" t="s">
        <v>143</v>
      </c>
      <c r="C14" t="s">
        <v>100</v>
      </c>
      <c r="D14">
        <v>1</v>
      </c>
      <c r="F14" t="s">
        <v>127</v>
      </c>
      <c r="G14" t="s">
        <v>133</v>
      </c>
    </row>
    <row r="15" spans="1:7" x14ac:dyDescent="0.3">
      <c r="A15" t="s">
        <v>138</v>
      </c>
      <c r="B15" t="s">
        <v>144</v>
      </c>
      <c r="C15" t="s">
        <v>105</v>
      </c>
      <c r="D15">
        <v>4</v>
      </c>
      <c r="F15" t="s">
        <v>130</v>
      </c>
      <c r="G15" t="s">
        <v>135</v>
      </c>
    </row>
    <row r="16" spans="1:7" x14ac:dyDescent="0.3">
      <c r="A16" t="s">
        <v>138</v>
      </c>
      <c r="B16" t="s">
        <v>145</v>
      </c>
      <c r="C16" t="s">
        <v>105</v>
      </c>
      <c r="D16">
        <v>4</v>
      </c>
      <c r="F16" t="s">
        <v>130</v>
      </c>
      <c r="G16" t="s">
        <v>135</v>
      </c>
    </row>
    <row r="17" spans="1:7" x14ac:dyDescent="0.3">
      <c r="A17" t="s">
        <v>138</v>
      </c>
      <c r="B17" t="s">
        <v>146</v>
      </c>
      <c r="C17" t="s">
        <v>105</v>
      </c>
      <c r="D17">
        <v>4</v>
      </c>
      <c r="F17" t="s">
        <v>131</v>
      </c>
      <c r="G17" t="s">
        <v>136</v>
      </c>
    </row>
    <row r="18" spans="1:7" x14ac:dyDescent="0.3">
      <c r="A18" t="s">
        <v>138</v>
      </c>
      <c r="B18" t="s">
        <v>147</v>
      </c>
      <c r="C18" t="s">
        <v>100</v>
      </c>
      <c r="D18">
        <v>1</v>
      </c>
      <c r="F18" t="s">
        <v>131</v>
      </c>
      <c r="G18" t="s">
        <v>136</v>
      </c>
    </row>
    <row r="19" spans="1:7" x14ac:dyDescent="0.3">
      <c r="A19" t="s">
        <v>148</v>
      </c>
      <c r="B19" s="2" t="s">
        <v>97</v>
      </c>
      <c r="C19" t="s">
        <v>154</v>
      </c>
      <c r="D19">
        <v>4</v>
      </c>
    </row>
    <row r="20" spans="1:7" x14ac:dyDescent="0.3">
      <c r="A20" t="s">
        <v>148</v>
      </c>
      <c r="B20" t="s">
        <v>98</v>
      </c>
      <c r="C20" t="s">
        <v>151</v>
      </c>
      <c r="D20">
        <v>4</v>
      </c>
    </row>
    <row r="21" spans="1:7" x14ac:dyDescent="0.3">
      <c r="A21" t="s">
        <v>148</v>
      </c>
      <c r="B21" t="s">
        <v>149</v>
      </c>
      <c r="C21" t="s">
        <v>153</v>
      </c>
      <c r="D21">
        <v>2</v>
      </c>
    </row>
    <row r="22" spans="1:7" x14ac:dyDescent="0.3">
      <c r="A22" t="s">
        <v>148</v>
      </c>
      <c r="B22" t="s">
        <v>150</v>
      </c>
      <c r="C22" t="s">
        <v>153</v>
      </c>
      <c r="D22">
        <v>2</v>
      </c>
    </row>
    <row r="23" spans="1:7" x14ac:dyDescent="0.3">
      <c r="A23" t="s">
        <v>148</v>
      </c>
      <c r="B23" t="s">
        <v>152</v>
      </c>
      <c r="C23" t="s">
        <v>153</v>
      </c>
      <c r="D23">
        <v>2</v>
      </c>
    </row>
    <row r="24" spans="1:7" x14ac:dyDescent="0.3">
      <c r="A24" t="s">
        <v>148</v>
      </c>
      <c r="B24" s="2" t="s">
        <v>71</v>
      </c>
      <c r="C24" t="s">
        <v>137</v>
      </c>
      <c r="D24">
        <v>4</v>
      </c>
    </row>
    <row r="25" spans="1:7" x14ac:dyDescent="0.3">
      <c r="A25" t="s">
        <v>148</v>
      </c>
      <c r="B25" s="2" t="s">
        <v>72</v>
      </c>
      <c r="C25" t="s">
        <v>137</v>
      </c>
      <c r="D25">
        <v>4</v>
      </c>
    </row>
    <row r="26" spans="1:7" x14ac:dyDescent="0.3">
      <c r="A26" t="s">
        <v>148</v>
      </c>
      <c r="B26" s="2" t="s">
        <v>73</v>
      </c>
      <c r="C26" t="s">
        <v>137</v>
      </c>
      <c r="D26">
        <v>4</v>
      </c>
    </row>
    <row r="27" spans="1:7" x14ac:dyDescent="0.3">
      <c r="A27" t="s">
        <v>148</v>
      </c>
      <c r="B27" s="2" t="s">
        <v>74</v>
      </c>
      <c r="C27" t="s">
        <v>137</v>
      </c>
      <c r="D27">
        <v>4</v>
      </c>
    </row>
    <row r="28" spans="1:7" x14ac:dyDescent="0.3">
      <c r="A28" t="s">
        <v>148</v>
      </c>
      <c r="B28" s="2" t="s">
        <v>75</v>
      </c>
      <c r="C28" t="s">
        <v>137</v>
      </c>
      <c r="D28">
        <v>4</v>
      </c>
    </row>
    <row r="29" spans="1:7" x14ac:dyDescent="0.3">
      <c r="A29" t="s">
        <v>148</v>
      </c>
      <c r="B29" s="2" t="s">
        <v>76</v>
      </c>
      <c r="C29" t="s">
        <v>137</v>
      </c>
      <c r="D29">
        <v>4</v>
      </c>
    </row>
    <row r="30" spans="1:7" x14ac:dyDescent="0.3">
      <c r="A30" t="s">
        <v>148</v>
      </c>
      <c r="B30" s="2" t="s">
        <v>77</v>
      </c>
      <c r="C30" t="s">
        <v>137</v>
      </c>
      <c r="D30">
        <v>4</v>
      </c>
    </row>
    <row r="31" spans="1:7" x14ac:dyDescent="0.3">
      <c r="A31" t="s">
        <v>148</v>
      </c>
      <c r="B31" s="2" t="s">
        <v>78</v>
      </c>
      <c r="C31" t="s">
        <v>137</v>
      </c>
      <c r="D31">
        <v>4</v>
      </c>
    </row>
    <row r="32" spans="1:7" x14ac:dyDescent="0.3">
      <c r="A32" t="s">
        <v>148</v>
      </c>
      <c r="B32" s="2" t="s">
        <v>79</v>
      </c>
      <c r="C32" t="s">
        <v>137</v>
      </c>
      <c r="D32">
        <v>4</v>
      </c>
    </row>
    <row r="33" spans="1:4" x14ac:dyDescent="0.3">
      <c r="A33" t="s">
        <v>148</v>
      </c>
      <c r="B33" s="2" t="s">
        <v>80</v>
      </c>
      <c r="C33" t="s">
        <v>137</v>
      </c>
      <c r="D33">
        <v>4</v>
      </c>
    </row>
    <row r="34" spans="1:4" x14ac:dyDescent="0.3">
      <c r="A34" t="s">
        <v>148</v>
      </c>
      <c r="B34" s="2" t="s">
        <v>81</v>
      </c>
      <c r="C34" t="s">
        <v>137</v>
      </c>
      <c r="D34">
        <v>4</v>
      </c>
    </row>
    <row r="35" spans="1:4" x14ac:dyDescent="0.3">
      <c r="A35" t="s">
        <v>148</v>
      </c>
      <c r="B35" s="2" t="s">
        <v>82</v>
      </c>
      <c r="C35" t="s">
        <v>137</v>
      </c>
      <c r="D35">
        <v>4</v>
      </c>
    </row>
    <row r="36" spans="1:4" x14ac:dyDescent="0.3">
      <c r="A36" t="s">
        <v>148</v>
      </c>
      <c r="B36" s="2" t="s">
        <v>83</v>
      </c>
      <c r="C36" t="s">
        <v>137</v>
      </c>
      <c r="D36">
        <v>4</v>
      </c>
    </row>
    <row r="37" spans="1:4" x14ac:dyDescent="0.3">
      <c r="A37" t="s">
        <v>148</v>
      </c>
      <c r="B37" s="2" t="s">
        <v>84</v>
      </c>
      <c r="C37" t="s">
        <v>137</v>
      </c>
      <c r="D37">
        <v>4</v>
      </c>
    </row>
    <row r="38" spans="1:4" x14ac:dyDescent="0.3">
      <c r="A38" t="s">
        <v>148</v>
      </c>
      <c r="B38" s="2" t="s">
        <v>85</v>
      </c>
      <c r="C38" t="s">
        <v>137</v>
      </c>
      <c r="D38">
        <v>4</v>
      </c>
    </row>
    <row r="39" spans="1:4" x14ac:dyDescent="0.3">
      <c r="A39" t="s">
        <v>148</v>
      </c>
      <c r="B39" s="2" t="s">
        <v>86</v>
      </c>
      <c r="C39" t="s">
        <v>137</v>
      </c>
      <c r="D39">
        <v>4</v>
      </c>
    </row>
    <row r="40" spans="1:4" x14ac:dyDescent="0.3">
      <c r="A40" t="s">
        <v>148</v>
      </c>
      <c r="B40" s="2" t="s">
        <v>87</v>
      </c>
      <c r="C40" t="s">
        <v>137</v>
      </c>
      <c r="D40">
        <v>4</v>
      </c>
    </row>
    <row r="41" spans="1:4" x14ac:dyDescent="0.3">
      <c r="A41" t="s">
        <v>148</v>
      </c>
      <c r="B41" s="2" t="s">
        <v>88</v>
      </c>
      <c r="C41" t="s">
        <v>137</v>
      </c>
      <c r="D41">
        <v>4</v>
      </c>
    </row>
    <row r="42" spans="1:4" x14ac:dyDescent="0.3">
      <c r="A42" t="s">
        <v>148</v>
      </c>
      <c r="B42" s="2" t="s">
        <v>89</v>
      </c>
      <c r="C42" t="s">
        <v>137</v>
      </c>
      <c r="D42">
        <v>4</v>
      </c>
    </row>
    <row r="43" spans="1:4" x14ac:dyDescent="0.3">
      <c r="A43" t="s">
        <v>148</v>
      </c>
      <c r="B43" s="2" t="s">
        <v>90</v>
      </c>
      <c r="C43" t="s">
        <v>137</v>
      </c>
      <c r="D43">
        <v>4</v>
      </c>
    </row>
    <row r="44" spans="1:4" x14ac:dyDescent="0.3">
      <c r="A44" t="s">
        <v>148</v>
      </c>
      <c r="B44" s="2" t="s">
        <v>91</v>
      </c>
      <c r="C44" t="s">
        <v>137</v>
      </c>
      <c r="D44">
        <v>4</v>
      </c>
    </row>
    <row r="45" spans="1:4" x14ac:dyDescent="0.3">
      <c r="A45" t="s">
        <v>148</v>
      </c>
      <c r="B45" s="2" t="s">
        <v>92</v>
      </c>
      <c r="C45" t="s">
        <v>137</v>
      </c>
      <c r="D45">
        <v>4</v>
      </c>
    </row>
    <row r="46" spans="1:4" x14ac:dyDescent="0.3">
      <c r="A46" t="s">
        <v>148</v>
      </c>
      <c r="B46" s="2" t="s">
        <v>93</v>
      </c>
      <c r="C46" t="s">
        <v>137</v>
      </c>
      <c r="D46">
        <v>4</v>
      </c>
    </row>
    <row r="47" spans="1:4" x14ac:dyDescent="0.3">
      <c r="A47" t="s">
        <v>148</v>
      </c>
      <c r="B47" s="2" t="s">
        <v>94</v>
      </c>
      <c r="C47" t="s">
        <v>137</v>
      </c>
      <c r="D47">
        <v>4</v>
      </c>
    </row>
    <row r="48" spans="1:4" x14ac:dyDescent="0.3">
      <c r="A48" t="s">
        <v>148</v>
      </c>
      <c r="B48" s="2" t="s">
        <v>95</v>
      </c>
      <c r="C48" t="s">
        <v>137</v>
      </c>
      <c r="D48">
        <v>4</v>
      </c>
    </row>
    <row r="49" spans="1:4" x14ac:dyDescent="0.3">
      <c r="A49" t="s">
        <v>148</v>
      </c>
      <c r="B49" s="2" t="s">
        <v>96</v>
      </c>
      <c r="C49" t="s">
        <v>137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108</v>
      </c>
    </row>
    <row r="3" spans="2:3" x14ac:dyDescent="0.3">
      <c r="B3" s="9" t="s">
        <v>109</v>
      </c>
    </row>
    <row r="4" spans="2:3" x14ac:dyDescent="0.3">
      <c r="B4" s="9" t="s">
        <v>110</v>
      </c>
    </row>
    <row r="5" spans="2:3" x14ac:dyDescent="0.3">
      <c r="B5" s="11" t="s">
        <v>111</v>
      </c>
    </row>
    <row r="6" spans="2:3" x14ac:dyDescent="0.3">
      <c r="C6" s="6" t="s">
        <v>112</v>
      </c>
    </row>
    <row r="8" spans="2:3" x14ac:dyDescent="0.3">
      <c r="B8" t="s">
        <v>113</v>
      </c>
    </row>
    <row r="10" spans="2:3" x14ac:dyDescent="0.3">
      <c r="C10" s="7" t="s">
        <v>114</v>
      </c>
    </row>
    <row r="11" spans="2:3" x14ac:dyDescent="0.3">
      <c r="B11" s="9"/>
      <c r="C11" s="7" t="s">
        <v>115</v>
      </c>
    </row>
    <row r="12" spans="2:3" x14ac:dyDescent="0.3">
      <c r="B12" s="9"/>
      <c r="C12" s="7" t="s">
        <v>116</v>
      </c>
    </row>
    <row r="13" spans="2:3" x14ac:dyDescent="0.3">
      <c r="B13" s="9"/>
      <c r="C13" s="7" t="s">
        <v>117</v>
      </c>
    </row>
    <row r="14" spans="2:3" x14ac:dyDescent="0.3">
      <c r="B14" s="9"/>
      <c r="C14" s="7" t="s">
        <v>118</v>
      </c>
    </row>
    <row r="15" spans="2:3" x14ac:dyDescent="0.3">
      <c r="B15" s="9"/>
      <c r="C15" s="7" t="s">
        <v>119</v>
      </c>
    </row>
    <row r="16" spans="2:3" x14ac:dyDescent="0.3">
      <c r="B16" s="9"/>
      <c r="C16" s="7" t="s">
        <v>120</v>
      </c>
    </row>
    <row r="17" spans="2:3" x14ac:dyDescent="0.3">
      <c r="B17" s="9"/>
      <c r="C17" s="7" t="s">
        <v>121</v>
      </c>
    </row>
    <row r="18" spans="2:3" x14ac:dyDescent="0.3">
      <c r="B18" s="9"/>
      <c r="C18" s="7" t="s">
        <v>122</v>
      </c>
    </row>
    <row r="19" spans="2:3" x14ac:dyDescent="0.3">
      <c r="B19" s="9"/>
      <c r="C19" s="7" t="s">
        <v>123</v>
      </c>
    </row>
    <row r="20" spans="2:3" x14ac:dyDescent="0.3">
      <c r="B20" s="9"/>
      <c r="C20" s="7" t="s">
        <v>124</v>
      </c>
    </row>
    <row r="21" spans="2:3" x14ac:dyDescent="0.3">
      <c r="B21" s="9"/>
      <c r="C21" s="7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2023-07-15T14:24:04Z</dcterms:modified>
</cp:coreProperties>
</file>