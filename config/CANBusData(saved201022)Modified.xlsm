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emp\telemetry22\CANTranslator\config\"/>
    </mc:Choice>
  </mc:AlternateContent>
  <xr:revisionPtr revIDLastSave="0" documentId="13_ncr:1_{A26457DF-F093-454B-9196-02DDF2956BE4}" xr6:coauthVersionLast="47" xr6:coauthVersionMax="47" xr10:uidLastSave="{00000000-0000-0000-0000-000000000000}"/>
  <bookViews>
    <workbookView xWindow="22932" yWindow="-12936" windowWidth="30936" windowHeight="1689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6" i="1" l="1"/>
  <c r="Q36" i="1"/>
  <c r="Y33" i="1" a="1"/>
  <c r="Y33" i="1" s="1"/>
  <c r="Z33" i="1" a="1"/>
  <c r="Z33" i="1" s="1"/>
  <c r="AA33" i="1" a="1"/>
  <c r="AA33" i="1" s="1"/>
  <c r="AB33" i="1" a="1"/>
  <c r="AB33" i="1" s="1"/>
  <c r="AC33" i="1" a="1"/>
  <c r="AC33" i="1" s="1"/>
  <c r="AD33" i="1" a="1"/>
  <c r="AD33" i="1" s="1"/>
  <c r="AE33" i="1" a="1"/>
  <c r="AE33" i="1" s="1"/>
  <c r="Y34" i="1" a="1"/>
  <c r="Y34" i="1" s="1"/>
  <c r="Z34" i="1" a="1"/>
  <c r="Z34" i="1" s="1"/>
  <c r="AA34" i="1" a="1"/>
  <c r="AA34" i="1" s="1"/>
  <c r="AB34" i="1" a="1"/>
  <c r="AB34" i="1" s="1"/>
  <c r="AC34" i="1" a="1"/>
  <c r="AC34" i="1" s="1"/>
  <c r="AD34" i="1" a="1"/>
  <c r="AD34" i="1" s="1"/>
  <c r="AE34" i="1" a="1"/>
  <c r="AE34" i="1" s="1"/>
  <c r="Q35" i="1"/>
  <c r="P34" i="1"/>
  <c r="Q34" i="1"/>
  <c r="P33" i="1"/>
  <c r="Q33" i="1"/>
  <c r="AA31" i="1" a="1"/>
  <c r="AA31" i="1" s="1"/>
  <c r="Y31" i="1" a="1"/>
  <c r="Y31" i="1" s="1"/>
  <c r="Q31" i="1"/>
  <c r="P31" i="1"/>
  <c r="F31" i="1"/>
  <c r="AE27" i="1" a="1"/>
  <c r="AE27" i="1" s="1"/>
  <c r="AD27" i="1" a="1"/>
  <c r="AD27" i="1" s="1"/>
  <c r="AC27" i="1" a="1"/>
  <c r="AC27" i="1" s="1"/>
  <c r="AA27" i="1" a="1"/>
  <c r="AA27" i="1" s="1"/>
  <c r="Z27" i="1" a="1"/>
  <c r="Z27" i="1" s="1"/>
  <c r="Y27" i="1" a="1"/>
  <c r="Y27" i="1" s="1"/>
  <c r="Q27" i="1"/>
  <c r="P27" i="1"/>
  <c r="F27" i="1"/>
  <c r="AE26" i="1" a="1"/>
  <c r="AE26" i="1" s="1"/>
  <c r="AD26" i="1" a="1"/>
  <c r="AD26" i="1" s="1"/>
  <c r="AC26" i="1" a="1"/>
  <c r="AC26" i="1" s="1"/>
  <c r="AA26" i="1" a="1"/>
  <c r="AA26" i="1" s="1"/>
  <c r="Z26" i="1" a="1"/>
  <c r="Z26" i="1" s="1"/>
  <c r="Y26" i="1" a="1"/>
  <c r="Y26" i="1" s="1"/>
  <c r="Q26" i="1"/>
  <c r="P26" i="1"/>
  <c r="F26" i="1"/>
  <c r="AE25" i="1" a="1"/>
  <c r="AE25" i="1" s="1"/>
  <c r="AD25" i="1" a="1"/>
  <c r="AD25" i="1" s="1"/>
  <c r="AC25" i="1" a="1"/>
  <c r="AC25" i="1" s="1"/>
  <c r="AA25" i="1" a="1"/>
  <c r="AA25" i="1" s="1"/>
  <c r="Z25" i="1" a="1"/>
  <c r="Z25" i="1" s="1"/>
  <c r="Y25" i="1" a="1"/>
  <c r="Y25" i="1" s="1"/>
  <c r="Q25" i="1"/>
  <c r="P25" i="1"/>
  <c r="F25" i="1"/>
  <c r="AE24" i="1" a="1"/>
  <c r="AE24" i="1" s="1"/>
  <c r="AD24" i="1" a="1"/>
  <c r="AD24" i="1" s="1"/>
  <c r="AC24" i="1" a="1"/>
  <c r="AC24" i="1" s="1"/>
  <c r="AA24" i="1" a="1"/>
  <c r="AA24" i="1" s="1"/>
  <c r="Z24" i="1" a="1"/>
  <c r="Z24" i="1" s="1"/>
  <c r="Y24" i="1" a="1"/>
  <c r="Y24" i="1" s="1"/>
  <c r="Q24" i="1"/>
  <c r="P24" i="1"/>
  <c r="F24" i="1"/>
  <c r="AE23" i="1" a="1"/>
  <c r="AE23" i="1" s="1"/>
  <c r="AD23" i="1" a="1"/>
  <c r="AD23" i="1" s="1"/>
  <c r="AC23" i="1" a="1"/>
  <c r="AC23" i="1" s="1"/>
  <c r="AA23" i="1" a="1"/>
  <c r="AA23" i="1" s="1"/>
  <c r="Z23" i="1" a="1"/>
  <c r="Z23" i="1" s="1"/>
  <c r="Y23" i="1" a="1"/>
  <c r="Y23" i="1" s="1"/>
  <c r="Q23" i="1"/>
  <c r="P23" i="1"/>
  <c r="F23" i="1"/>
  <c r="AE22" i="1" a="1"/>
  <c r="AE22" i="1" s="1"/>
  <c r="AD22" i="1" a="1"/>
  <c r="AD22" i="1" s="1"/>
  <c r="AC22" i="1" a="1"/>
  <c r="AC22" i="1" s="1"/>
  <c r="AA22" i="1" a="1"/>
  <c r="AA22" i="1" s="1"/>
  <c r="Z22" i="1" a="1"/>
  <c r="Z22" i="1" s="1"/>
  <c r="Y22" i="1" a="1"/>
  <c r="Y22" i="1" s="1"/>
  <c r="Q22" i="1"/>
  <c r="P22" i="1"/>
  <c r="F22" i="1"/>
  <c r="AE21" i="1" a="1"/>
  <c r="AE21" i="1" s="1"/>
  <c r="AD21" i="1" a="1"/>
  <c r="AD21" i="1" s="1"/>
  <c r="AC21" i="1" a="1"/>
  <c r="AC21" i="1" s="1"/>
  <c r="AA21" i="1" a="1"/>
  <c r="AA21" i="1" s="1"/>
  <c r="Z21" i="1" a="1"/>
  <c r="Z21" i="1" s="1"/>
  <c r="Y21" i="1" a="1"/>
  <c r="Y21" i="1" s="1"/>
  <c r="Q21" i="1"/>
  <c r="P21" i="1"/>
  <c r="F21" i="1"/>
  <c r="AE20" i="1" a="1"/>
  <c r="AE20" i="1" s="1"/>
  <c r="AD20" i="1" a="1"/>
  <c r="AD20" i="1" s="1"/>
  <c r="AC20" i="1" a="1"/>
  <c r="AC20" i="1" s="1"/>
  <c r="AA20" i="1" a="1"/>
  <c r="AA20" i="1" s="1"/>
  <c r="Z20" i="1" a="1"/>
  <c r="Z20" i="1" s="1"/>
  <c r="Y20" i="1" a="1"/>
  <c r="Y20" i="1" s="1"/>
  <c r="Q20" i="1"/>
  <c r="P20" i="1"/>
  <c r="F20" i="1"/>
  <c r="AE19" i="1" a="1"/>
  <c r="AE19" i="1" s="1"/>
  <c r="AD19" i="1" a="1"/>
  <c r="AD19" i="1" s="1"/>
  <c r="AC19" i="1" a="1"/>
  <c r="AC19" i="1" s="1"/>
  <c r="AA19" i="1" a="1"/>
  <c r="AA19" i="1" s="1"/>
  <c r="Z19" i="1" a="1"/>
  <c r="Z19" i="1" s="1"/>
  <c r="Y19" i="1" a="1"/>
  <c r="Y19" i="1" s="1"/>
  <c r="Q19" i="1"/>
  <c r="P19" i="1"/>
  <c r="F19" i="1"/>
  <c r="AE18" i="1" a="1"/>
  <c r="AE18" i="1" s="1"/>
  <c r="AD18" i="1" a="1"/>
  <c r="AD18" i="1" s="1"/>
  <c r="AC18" i="1" a="1"/>
  <c r="AC18" i="1" s="1"/>
  <c r="AA18" i="1" a="1"/>
  <c r="AA18" i="1" s="1"/>
  <c r="Z18" i="1" a="1"/>
  <c r="Z18" i="1" s="1"/>
  <c r="Y18" i="1" a="1"/>
  <c r="Y18" i="1" s="1"/>
  <c r="Q18" i="1"/>
  <c r="P18" i="1"/>
  <c r="F18" i="1"/>
  <c r="AE17" i="1" a="1"/>
  <c r="AE17" i="1" s="1"/>
  <c r="AD17" i="1" a="1"/>
  <c r="AD17" i="1" s="1"/>
  <c r="AC17" i="1" a="1"/>
  <c r="AC17" i="1" s="1"/>
  <c r="AA17" i="1" a="1"/>
  <c r="AA17" i="1" s="1"/>
  <c r="Z17" i="1" a="1"/>
  <c r="Z17" i="1" s="1"/>
  <c r="Y17" i="1" a="1"/>
  <c r="Y17" i="1" s="1"/>
  <c r="Q17" i="1"/>
  <c r="P17" i="1"/>
  <c r="F17" i="1"/>
  <c r="AE16" i="1" a="1"/>
  <c r="AE16" i="1" s="1"/>
  <c r="AD16" i="1" a="1"/>
  <c r="AD16" i="1" s="1"/>
  <c r="AC16" i="1" a="1"/>
  <c r="AC16" i="1" s="1"/>
  <c r="AA16" i="1" a="1"/>
  <c r="AA16" i="1" s="1"/>
  <c r="Z16" i="1" a="1"/>
  <c r="Z16" i="1" s="1"/>
  <c r="Y16" i="1" a="1"/>
  <c r="Y16" i="1" s="1"/>
  <c r="Q16" i="1"/>
  <c r="P16" i="1"/>
  <c r="F16" i="1"/>
  <c r="AE15" i="1" a="1"/>
  <c r="AE15" i="1" s="1"/>
  <c r="AD15" i="1" a="1"/>
  <c r="AD15" i="1" s="1"/>
  <c r="AC15" i="1" a="1"/>
  <c r="AC15" i="1" s="1"/>
  <c r="AA15" i="1" a="1"/>
  <c r="AA15" i="1" s="1"/>
  <c r="Z15" i="1" a="1"/>
  <c r="Z15" i="1" s="1"/>
  <c r="Y15" i="1" a="1"/>
  <c r="Y15" i="1" s="1"/>
  <c r="Q15" i="1"/>
  <c r="P15" i="1"/>
  <c r="F15" i="1"/>
  <c r="AE14" i="1" a="1"/>
  <c r="AE14" i="1" s="1"/>
  <c r="AD14" i="1" a="1"/>
  <c r="AD14" i="1" s="1"/>
  <c r="AC14" i="1" a="1"/>
  <c r="AC14" i="1" s="1"/>
  <c r="AA14" i="1" a="1"/>
  <c r="AA14" i="1" s="1"/>
  <c r="Z14" i="1" a="1"/>
  <c r="Z14" i="1" s="1"/>
  <c r="Y14" i="1" a="1"/>
  <c r="Y14" i="1" s="1"/>
  <c r="Q14" i="1"/>
  <c r="P14" i="1"/>
  <c r="F14" i="1"/>
  <c r="AC13" i="1" a="1"/>
  <c r="AC13" i="1" s="1"/>
  <c r="AA13" i="1" a="1"/>
  <c r="AA13" i="1" s="1"/>
  <c r="Y13" i="1" a="1"/>
  <c r="Y13" i="1" s="1"/>
  <c r="Q13" i="1"/>
  <c r="P13" i="1"/>
  <c r="F13" i="1"/>
  <c r="AE12" i="1" a="1"/>
  <c r="AE12" i="1" s="1"/>
  <c r="AD12" i="1" a="1"/>
  <c r="AD12" i="1" s="1"/>
  <c r="AC12" i="1" a="1"/>
  <c r="AC12" i="1" s="1"/>
  <c r="AA12" i="1" a="1"/>
  <c r="AA12" i="1" s="1"/>
  <c r="Z12" i="1" a="1"/>
  <c r="Z12" i="1" s="1"/>
  <c r="Y12" i="1" a="1"/>
  <c r="Y12" i="1" s="1"/>
  <c r="Q12" i="1"/>
  <c r="P12" i="1"/>
  <c r="F12" i="1"/>
  <c r="AA29" i="1" a="1"/>
  <c r="AA29" i="1" s="1"/>
  <c r="Y29" i="1" a="1"/>
  <c r="Y29" i="1" s="1"/>
  <c r="Q29" i="1"/>
  <c r="P29" i="1"/>
  <c r="F29" i="1"/>
  <c r="AA28" i="1" a="1"/>
  <c r="AA28" i="1" s="1"/>
  <c r="Y28" i="1" a="1"/>
  <c r="Y28" i="1" s="1"/>
  <c r="Q28" i="1"/>
  <c r="P28" i="1"/>
  <c r="F28" i="1"/>
  <c r="F30" i="1"/>
  <c r="P30" i="1"/>
  <c r="Q30" i="1"/>
  <c r="AD28" i="1" a="1"/>
  <c r="S34" i="1" a="1"/>
  <c r="S33" i="1" a="1"/>
  <c r="W24" i="1" a="1"/>
  <c r="W13" i="1" a="1"/>
  <c r="V22" i="1" a="1"/>
  <c r="AC31" i="1" a="1"/>
  <c r="X26" i="1" a="1"/>
  <c r="X13" i="1" a="1"/>
  <c r="V19" i="1" a="1"/>
  <c r="AD31" i="1" a="1"/>
  <c r="W33" i="1" a="1"/>
  <c r="X36" i="1" a="1"/>
  <c r="S14" i="1" a="1"/>
  <c r="V34" i="1" a="1"/>
  <c r="AB36" i="1" a="1"/>
  <c r="W18" i="1" a="1"/>
  <c r="W23" i="1" a="1"/>
  <c r="W35" i="1" a="1"/>
  <c r="AB14" i="1" a="1"/>
  <c r="X18" i="1" a="1"/>
  <c r="S24" i="1" a="1"/>
  <c r="AB18" i="1" a="1"/>
  <c r="X19" i="1" a="1"/>
  <c r="V18" i="1" a="1"/>
  <c r="V17" i="1" a="1"/>
  <c r="V31" i="1" a="1"/>
  <c r="Z13" i="1" a="1"/>
  <c r="W14" i="1" a="1"/>
  <c r="AB31" i="1" a="1"/>
  <c r="V28" i="1" a="1"/>
  <c r="AB22" i="1" a="1"/>
  <c r="Z31" i="1" a="1"/>
  <c r="S16" i="1" a="1"/>
  <c r="V25" i="1" a="1"/>
  <c r="W31" i="1" a="1"/>
  <c r="AC29" i="1" a="1"/>
  <c r="AB35" i="1" a="1"/>
  <c r="X17" i="1" a="1"/>
  <c r="AB16" i="1" a="1"/>
  <c r="W28" i="1" a="1"/>
  <c r="X22" i="1" a="1"/>
  <c r="AE31" i="1" a="1"/>
  <c r="W36" i="1" a="1"/>
  <c r="Z29" i="1" a="1"/>
  <c r="AA36" i="1" a="1"/>
  <c r="W22" i="1" a="1"/>
  <c r="W27" i="1" a="1"/>
  <c r="W21" i="1" a="1"/>
  <c r="AB25" i="1" a="1"/>
  <c r="AB23" i="1" a="1"/>
  <c r="S18" i="1" a="1"/>
  <c r="W17" i="1" a="1"/>
  <c r="AC28" i="1" a="1"/>
  <c r="AD35" i="1" a="1"/>
  <c r="AC36" i="1" a="1"/>
  <c r="X21" i="1" a="1"/>
  <c r="AB12" i="1" a="1"/>
  <c r="V35" i="1" a="1"/>
  <c r="AE28" i="1" a="1"/>
  <c r="AB13" i="1" a="1"/>
  <c r="W19" i="1" a="1"/>
  <c r="S17" i="1" a="1"/>
  <c r="X25" i="1" a="1"/>
  <c r="V16" i="1" a="1"/>
  <c r="W12" i="1" a="1"/>
  <c r="W29" i="1" a="1"/>
  <c r="X28" i="1" a="1"/>
  <c r="AB24" i="1" a="1"/>
  <c r="S19" i="1" a="1"/>
  <c r="S20" i="1" a="1"/>
  <c r="AA35" i="1" a="1"/>
  <c r="Y36" i="1" a="1"/>
  <c r="V29" i="1" a="1"/>
  <c r="V13" i="1" a="1"/>
  <c r="AE35" i="1" a="1"/>
  <c r="AE13" i="1" a="1"/>
  <c r="X23" i="1" a="1"/>
  <c r="X14" i="1" a="1"/>
  <c r="Z35" i="1" a="1"/>
  <c r="X27" i="1" a="1"/>
  <c r="S27" i="1" a="1"/>
  <c r="V33" i="1" a="1"/>
  <c r="X29" i="1" a="1"/>
  <c r="X31" i="1" a="1"/>
  <c r="S36" i="1" a="1"/>
  <c r="S13" i="1" a="1"/>
  <c r="V14" i="1" a="1"/>
  <c r="S15" i="1" a="1"/>
  <c r="X12" i="1" a="1"/>
  <c r="AC35" i="1" a="1"/>
  <c r="S21" i="1" a="1"/>
  <c r="AB21" i="1" a="1"/>
  <c r="X15" i="1" a="1"/>
  <c r="AD13" i="1" a="1"/>
  <c r="S35" i="1" a="1"/>
  <c r="S25" i="1" a="1"/>
  <c r="Z28" i="1" a="1"/>
  <c r="AB19" i="1" a="1"/>
  <c r="AE29" i="1" a="1"/>
  <c r="W16" i="1" a="1"/>
  <c r="AB29" i="1" a="1"/>
  <c r="V24" i="1" a="1"/>
  <c r="AB28" i="1" a="1"/>
  <c r="W25" i="1" a="1"/>
  <c r="X35" i="1" a="1"/>
  <c r="V36" i="1" a="1"/>
  <c r="X24" i="1" a="1"/>
  <c r="AD36" i="1" a="1"/>
  <c r="S12" i="1" a="1"/>
  <c r="S22" i="1" a="1"/>
  <c r="AB15" i="1" a="1"/>
  <c r="AB27" i="1" a="1"/>
  <c r="W34" i="1" a="1"/>
  <c r="W26" i="1" a="1"/>
  <c r="V23" i="1" a="1"/>
  <c r="V27" i="1" a="1"/>
  <c r="AD29" i="1" a="1"/>
  <c r="V26" i="1" a="1"/>
  <c r="W15" i="1" a="1"/>
  <c r="V12" i="1" a="1"/>
  <c r="W20" i="1" a="1"/>
  <c r="S23" i="1" a="1"/>
  <c r="Y35" i="1" a="1"/>
  <c r="Z36" i="1" a="1"/>
  <c r="S26" i="1" a="1"/>
  <c r="X16" i="1" a="1"/>
  <c r="AB20" i="1" a="1"/>
  <c r="AE36" i="1" a="1"/>
  <c r="X20" i="1" a="1"/>
  <c r="AB17" i="1" a="1"/>
  <c r="AB26" i="1" a="1"/>
  <c r="X34" i="1" a="1"/>
  <c r="X33" i="1" a="1"/>
  <c r="X34" i="1" l="1"/>
  <c r="X33" i="1"/>
  <c r="S34" i="1"/>
  <c r="S33" i="1"/>
  <c r="Y36" i="1"/>
  <c r="AC36" i="1"/>
  <c r="AB36" i="1"/>
  <c r="X36" i="1"/>
  <c r="AA36" i="1"/>
  <c r="W36" i="1"/>
  <c r="AE36" i="1"/>
  <c r="AD36" i="1"/>
  <c r="Z36" i="1"/>
  <c r="V36" i="1"/>
  <c r="S36" i="1"/>
  <c r="Z35" i="1"/>
  <c r="V35" i="1"/>
  <c r="AC35" i="1"/>
  <c r="Y35" i="1"/>
  <c r="X35" i="1"/>
  <c r="AB35" i="1"/>
  <c r="AE35" i="1"/>
  <c r="AA35" i="1"/>
  <c r="W35" i="1"/>
  <c r="AD35" i="1"/>
  <c r="V34" i="1"/>
  <c r="W33" i="1"/>
  <c r="W34" i="1"/>
  <c r="V33" i="1"/>
  <c r="S35" i="1"/>
  <c r="AB31" i="1"/>
  <c r="AC31" i="1"/>
  <c r="AE31" i="1"/>
  <c r="V31" i="1"/>
  <c r="W31" i="1"/>
  <c r="Z31" i="1"/>
  <c r="X31" i="1"/>
  <c r="AD31" i="1"/>
  <c r="Z29" i="1"/>
  <c r="AD28" i="1"/>
  <c r="S27" i="1"/>
  <c r="AB27" i="1"/>
  <c r="W27" i="1"/>
  <c r="V27" i="1"/>
  <c r="X27" i="1"/>
  <c r="W24" i="1"/>
  <c r="S26" i="1"/>
  <c r="AE13" i="1"/>
  <c r="W15" i="1"/>
  <c r="S17" i="1"/>
  <c r="W19" i="1"/>
  <c r="AB21" i="1"/>
  <c r="V25" i="1"/>
  <c r="AB25" i="1"/>
  <c r="S22" i="1"/>
  <c r="W20" i="1"/>
  <c r="S13" i="1"/>
  <c r="Z13" i="1"/>
  <c r="X15" i="1"/>
  <c r="X19" i="1"/>
  <c r="W21" i="1"/>
  <c r="S23" i="1"/>
  <c r="W25" i="1"/>
  <c r="AB20" i="1"/>
  <c r="X20" i="1"/>
  <c r="V22" i="1"/>
  <c r="AB22" i="1"/>
  <c r="V26" i="1"/>
  <c r="AB26" i="1"/>
  <c r="S12" i="1"/>
  <c r="AB16" i="1"/>
  <c r="X24" i="1"/>
  <c r="W16" i="1"/>
  <c r="V17" i="1"/>
  <c r="AB17" i="1"/>
  <c r="X21" i="1"/>
  <c r="X25" i="1"/>
  <c r="V16" i="1"/>
  <c r="S18" i="1"/>
  <c r="W12" i="1"/>
  <c r="S14" i="1"/>
  <c r="X16" i="1"/>
  <c r="W22" i="1"/>
  <c r="S24" i="1"/>
  <c r="W26" i="1"/>
  <c r="AB12" i="1"/>
  <c r="AB13" i="1"/>
  <c r="W17" i="1"/>
  <c r="S19" i="1"/>
  <c r="V23" i="1"/>
  <c r="AB23" i="1"/>
  <c r="V18" i="1"/>
  <c r="AB18" i="1"/>
  <c r="X22" i="1"/>
  <c r="X26" i="1"/>
  <c r="V12" i="1"/>
  <c r="X12" i="1"/>
  <c r="W13" i="1"/>
  <c r="S15" i="1"/>
  <c r="X17" i="1"/>
  <c r="W23" i="1"/>
  <c r="S25" i="1"/>
  <c r="W14" i="1"/>
  <c r="X18" i="1"/>
  <c r="X14" i="1"/>
  <c r="V14" i="1"/>
  <c r="AB14" i="1"/>
  <c r="S16" i="1"/>
  <c r="W18" i="1"/>
  <c r="S20" i="1"/>
  <c r="V24" i="1"/>
  <c r="AB24" i="1"/>
  <c r="V13" i="1"/>
  <c r="X13" i="1"/>
  <c r="AD13" i="1"/>
  <c r="AB15" i="1"/>
  <c r="V19" i="1"/>
  <c r="AB19" i="1"/>
  <c r="S21" i="1"/>
  <c r="X23" i="1"/>
  <c r="Z28" i="1"/>
  <c r="V28" i="1"/>
  <c r="AB28" i="1"/>
  <c r="AE29" i="1"/>
  <c r="X28" i="1"/>
  <c r="W29" i="1"/>
  <c r="AC29" i="1"/>
  <c r="W28" i="1"/>
  <c r="AB29" i="1"/>
  <c r="AE28" i="1"/>
  <c r="AC28" i="1"/>
  <c r="V29" i="1"/>
  <c r="X29" i="1"/>
  <c r="AD29" i="1"/>
  <c r="T19" i="1" a="1"/>
  <c r="T24" i="1" a="1"/>
  <c r="T31" i="1" a="1"/>
  <c r="T14" i="1" a="1"/>
  <c r="T35" i="1" a="1"/>
  <c r="V30" i="1" a="1"/>
  <c r="T27" i="1" a="1"/>
  <c r="T22" i="1" a="1"/>
  <c r="T23" i="1" a="1"/>
  <c r="T20" i="1" a="1"/>
  <c r="T26" i="1" a="1"/>
  <c r="T25" i="1" a="1"/>
  <c r="T13" i="1" a="1"/>
  <c r="T17" i="1" a="1"/>
  <c r="T16" i="1" a="1"/>
  <c r="T28" i="1" a="1"/>
  <c r="T29" i="1" a="1"/>
  <c r="T21" i="1" a="1"/>
  <c r="T18" i="1" a="1"/>
  <c r="T15" i="1" a="1"/>
  <c r="T12" i="1" a="1"/>
  <c r="T36" i="1" a="1"/>
  <c r="T34" i="1" a="1"/>
  <c r="T33" i="1" a="1"/>
  <c r="T34" i="1" l="1"/>
  <c r="T33" i="1"/>
  <c r="T36" i="1"/>
  <c r="T35" i="1"/>
  <c r="T31" i="1"/>
  <c r="T29" i="1"/>
  <c r="T27" i="1"/>
  <c r="T13" i="1"/>
  <c r="T14" i="1"/>
  <c r="T19" i="1"/>
  <c r="T18" i="1"/>
  <c r="T26" i="1"/>
  <c r="T15" i="1"/>
  <c r="T12" i="1"/>
  <c r="T16" i="1"/>
  <c r="T23" i="1"/>
  <c r="T22" i="1"/>
  <c r="T25" i="1"/>
  <c r="T24" i="1"/>
  <c r="T20" i="1"/>
  <c r="T21" i="1"/>
  <c r="T17" i="1"/>
  <c r="T28" i="1"/>
  <c r="V30" i="1"/>
  <c r="Y30" i="1" a="1"/>
  <c r="Y30" i="1" s="1"/>
  <c r="AA30" i="1" a="1"/>
  <c r="AA30" i="1" s="1"/>
  <c r="AC30" i="1" a="1"/>
  <c r="W30" i="1" a="1"/>
  <c r="X30" i="1" a="1"/>
  <c r="Z30" i="1" a="1"/>
  <c r="AB30" i="1" a="1"/>
  <c r="Z30" i="1" l="1"/>
  <c r="W30" i="1"/>
  <c r="AB30" i="1"/>
  <c r="X30" i="1"/>
  <c r="AC30" i="1"/>
  <c r="F32" i="1"/>
  <c r="P32" i="1"/>
  <c r="Q32" i="1"/>
  <c r="AD30" i="1" a="1"/>
  <c r="T30" i="1" a="1"/>
  <c r="X32" i="1" a="1"/>
  <c r="AA32" i="1" a="1"/>
  <c r="AD32" i="1" a="1"/>
  <c r="AC32" i="1" a="1"/>
  <c r="V32" i="1" a="1"/>
  <c r="W32" i="1" a="1"/>
  <c r="Z32" i="1" a="1"/>
  <c r="AB32" i="1" a="1"/>
  <c r="Y32" i="1" a="1"/>
  <c r="AE30" i="1" a="1"/>
  <c r="AA32" i="1" l="1"/>
  <c r="Y32" i="1"/>
  <c r="AD30" i="1"/>
  <c r="Z32" i="1"/>
  <c r="AB32" i="1"/>
  <c r="V32" i="1"/>
  <c r="AC32" i="1"/>
  <c r="X32" i="1"/>
  <c r="T30" i="1"/>
  <c r="AE30" i="1"/>
  <c r="W32" i="1"/>
  <c r="AD32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 s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5" i="1"/>
  <c r="F36" i="1"/>
  <c r="F35" i="1"/>
  <c r="F34" i="1"/>
  <c r="F33" i="1"/>
  <c r="F8" i="1"/>
  <c r="F9" i="1"/>
  <c r="F7" i="1"/>
  <c r="F11" i="1"/>
  <c r="F2" i="1"/>
  <c r="F10" i="1"/>
  <c r="Q10" i="1"/>
  <c r="P10" i="1"/>
  <c r="AI38" i="1"/>
  <c r="Q11" i="1"/>
  <c r="Q2" i="1"/>
  <c r="Q40" i="1"/>
  <c r="AH38" i="1"/>
  <c r="P11" i="1"/>
  <c r="P2" i="1"/>
  <c r="P40" i="1"/>
  <c r="V7" i="1" a="1"/>
  <c r="AB6" i="1" a="1"/>
  <c r="S11" i="1" a="1"/>
  <c r="X3" i="1" a="1"/>
  <c r="S2" i="1" a="1"/>
  <c r="W6" i="1" a="1"/>
  <c r="AC7" i="1" a="1"/>
  <c r="W5" i="1" a="1"/>
  <c r="AB3" i="1" a="1"/>
  <c r="S5" i="1" a="1"/>
  <c r="AB11" i="1" a="1"/>
  <c r="AE2" i="1" a="1"/>
  <c r="X10" i="1" a="1"/>
  <c r="AE7" i="1" a="1"/>
  <c r="W4" i="1" a="1"/>
  <c r="AA2" i="1" a="1"/>
  <c r="AB5" i="1" a="1"/>
  <c r="AB2" i="1" a="1"/>
  <c r="V5" i="1" a="1"/>
  <c r="S7" i="1" a="1"/>
  <c r="AB7" i="1" a="1"/>
  <c r="V11" i="1" a="1"/>
  <c r="X7" i="1" a="1"/>
  <c r="S10" i="1" a="1"/>
  <c r="V10" i="1" a="1"/>
  <c r="S4" i="1" a="1"/>
  <c r="AA7" i="1" a="1"/>
  <c r="S9" i="1" a="1"/>
  <c r="X4" i="1" a="1"/>
  <c r="Y2" i="1" a="1"/>
  <c r="AB10" i="1" a="1"/>
  <c r="W10" i="1" a="1"/>
  <c r="AB4" i="1" a="1"/>
  <c r="V9" i="1" a="1"/>
  <c r="W2" i="1" a="1"/>
  <c r="W7" i="1" a="1"/>
  <c r="X11" i="1" a="1"/>
  <c r="V4" i="1" a="1"/>
  <c r="AB9" i="1" a="1"/>
  <c r="V6" i="1" a="1"/>
  <c r="V2" i="1" a="1"/>
  <c r="T32" i="1" a="1"/>
  <c r="W11" i="1" a="1"/>
  <c r="S3" i="1" a="1"/>
  <c r="W8" i="1" a="1"/>
  <c r="X2" i="1" a="1"/>
  <c r="X6" i="1" a="1"/>
  <c r="Z7" i="1" a="1"/>
  <c r="AE32" i="1" a="1"/>
  <c r="AD2" i="1" a="1"/>
  <c r="S6" i="1" a="1"/>
  <c r="AD7" i="1" a="1"/>
  <c r="W3" i="1" a="1"/>
  <c r="V3" i="1" a="1"/>
  <c r="W9" i="1" a="1"/>
  <c r="AC2" i="1" a="1"/>
  <c r="X9" i="1" a="1"/>
  <c r="V8" i="1" a="1"/>
  <c r="S8" i="1" a="1"/>
  <c r="AB8" i="1" a="1"/>
  <c r="Y7" i="1" a="1"/>
  <c r="Z2" i="1" a="1"/>
  <c r="X8" i="1" a="1"/>
  <c r="X5" i="1" a="1"/>
  <c r="T32" i="1" l="1"/>
  <c r="AE32" i="1"/>
  <c r="AE7" i="1"/>
  <c r="AD7" i="1"/>
  <c r="AC7" i="1"/>
  <c r="AA7" i="1"/>
  <c r="Z7" i="1"/>
  <c r="Y7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11" i="1"/>
  <c r="W3" i="1"/>
  <c r="W10" i="1"/>
  <c r="W5" i="1"/>
  <c r="W6" i="1"/>
  <c r="W9" i="1"/>
  <c r="W8" i="1"/>
  <c r="W4" i="1"/>
  <c r="W7" i="1"/>
  <c r="W2" i="1"/>
  <c r="V11" i="1"/>
  <c r="V10" i="1"/>
  <c r="V9" i="1"/>
  <c r="V8" i="1"/>
  <c r="V5" i="1"/>
  <c r="V7" i="1"/>
  <c r="V4" i="1"/>
  <c r="V6" i="1"/>
  <c r="V3" i="1"/>
  <c r="V2" i="1"/>
  <c r="S3" i="1"/>
  <c r="S11" i="1"/>
  <c r="S10" i="1"/>
  <c r="S9" i="1"/>
  <c r="S5" i="1"/>
  <c r="S7" i="1"/>
  <c r="S6" i="1"/>
  <c r="S8" i="1"/>
  <c r="S4" i="1"/>
  <c r="S2" i="1"/>
  <c r="T4" i="1" a="1"/>
  <c r="T6" i="1" a="1"/>
  <c r="T2" i="1" a="1"/>
  <c r="T3" i="1" a="1"/>
  <c r="T7" i="1" a="1"/>
  <c r="T5" i="1" a="1"/>
  <c r="T9" i="1" a="1"/>
  <c r="T10" i="1" a="1"/>
  <c r="T11" i="1" a="1"/>
  <c r="T8" i="1" a="1"/>
  <c r="T3" i="1" l="1"/>
  <c r="T9" i="1"/>
  <c r="T8" i="1"/>
  <c r="T10" i="1"/>
  <c r="T2" i="1"/>
  <c r="T4" i="1"/>
  <c r="T5" i="1"/>
  <c r="T6" i="1"/>
  <c r="T7" i="1"/>
  <c r="T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<sst xmlns="http://schemas.openxmlformats.org/spreadsheetml/2006/main" count="744" uniqueCount="332">
  <si>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</si>
  <si>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</si>
  <si>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</si>
  <si>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</si>
  <si>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</si>
  <si>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</si>
  <si>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</si>
  <si>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</si>
  <si>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</si>
  <si>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</si>
  <si>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</si>
  <si>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</si>
  <si>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</si>
  <si>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</si>
  <si>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</si>
  <si>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</si>
  <si>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</si>
  <si>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</si>
  <si>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</si>
  <si>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</si>
  <si>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</si>
  <si>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</si>
  <si>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</si>
  <si>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</si>
  <si>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</si>
  <si>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</si>
  <si>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</si>
  <si>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</si>
  <si>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</si>
  <si>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</si>
  <si>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</si>
  <si>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</si>
  <si>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</si>
  <si>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</si>
  <si>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</si>
  <si>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</si>
  <si>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</si>
  <si>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</si>
  <si>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</si>
  <si>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</si>
  <si>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</si>
  <si>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</si>
  <si>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</si>
  <si>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</si>
  <si>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</si>
  <si>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</si>
  <si>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</si>
  <si>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</si>
  <si>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</si>
  <si>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</si>
  <si>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</si>
  <si>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</si>
  <si>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</si>
  <si>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</si>
  <si>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</si>
  <si>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</si>
  <si>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</si>
  <si>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</si>
  <si>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</si>
  <si>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</si>
  <si>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</si>
  <si>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</si>
  <si>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</si>
  <si>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</si>
  <si>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</si>
  <si>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</si>
  <si>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</si>
  <si>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</si>
  <si>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</si>
  <si>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</si>
  <si>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</si>
  <si>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</si>
  <si>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</si>
  <si>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</si>
  <si>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</si>
  <si>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</si>
  <si>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</si>
  <si>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</si>
  <si>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</si>
  <si>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</si>
  <si>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</si>
  <si>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</si>
  <si>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</si>
  <si>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</si>
  <si>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</si>
  <si>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</si>
  <si>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</si>
  <si>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</si>
  <si>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</si>
  <si>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</si>
  <si>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</si>
  <si>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</si>
  <si>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</si>
  <si>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</si>
  <si>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</si>
  <si>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</si>
  <si>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</si>
  <si>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</si>
  <si>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</si>
  <si>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</si>
  <si>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</si>
  <si>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</si>
  <si>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</si>
  <si>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</si>
  <si>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</si>
  <si>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</si>
  <si>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</si>
  <si>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</si>
  <si>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</si>
  <si>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</si>
  <si>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</si>
  <si>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</si>
  <si>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</si>
  <si>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</si>
  <si>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</si>
  <si>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</si>
  <si>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</si>
  <si>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</si>
  <si>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</si>
  <si>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</si>
  <si>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</si>
  <si>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</si>
  <si>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</si>
  <si>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</si>
  <si>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</si>
  <si>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</si>
  <si>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</si>
  <si>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</si>
  <si>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</si>
  <si>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</si>
  <si>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</si>
  <si>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</si>
  <si>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</si>
  <si>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</si>
  <si>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</si>
  <si>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</si>
  <si>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</si>
  <si>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</si>
  <si>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</si>
  <si>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</si>
  <si>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</si>
  <si>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</si>
  <si>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</si>
  <si>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</si>
  <si>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</si>
  <si>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</si>
  <si>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</si>
  <si>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</si>
  <si>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</si>
  <si>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</si>
  <si>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</si>
  <si>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</si>
  <si>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</si>
  <si>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</si>
  <si>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</si>
  <si>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</si>
  <si>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</si>
  <si>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</si>
  <si>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</si>
  <si>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</si>
  <si>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</si>
  <si>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</si>
  <si>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</si>
  <si>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</si>
  <si>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</si>
  <si>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</si>
  <si>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</si>
  <si>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</si>
  <si>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</si>
  <si>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</si>
  <si>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</si>
  <si>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</si>
  <si>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MPPT poll javed</t>
  </si>
  <si>
    <t>MPPT poll woof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</si>
  <si>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</si>
  <si>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</si>
  <si>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</si>
  <si>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</si>
  <si>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</si>
  <si>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</si>
  <si>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</si>
  <si>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</si>
  <si>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</si>
  <si>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</si>
  <si>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</si>
  <si>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</si>
  <si>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</si>
  <si>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</si>
  <si>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</si>
  <si>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</si>
  <si>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</si>
  <si>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</si>
  <si>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</si>
  <si>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</si>
  <si>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</si>
  <si>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</si>
  <si>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</si>
  <si>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</si>
  <si>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</si>
  <si>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</si>
  <si>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</si>
  <si>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</si>
  <si>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</si>
  <si>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</si>
  <si>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</si>
  <si>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</si>
  <si>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</si>
  <si>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</si>
  <si>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</si>
  <si>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</si>
  <si>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</si>
  <si>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</si>
  <si>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</si>
  <si>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</si>
  <si>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</si>
  <si>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</si>
  <si>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</si>
  <si>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</si>
  <si>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</si>
  <si>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</si>
  <si>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</si>
  <si>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</si>
  <si>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</si>
  <si>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</si>
  <si>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</si>
  <si>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</si>
  <si>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</si>
  <si>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</si>
  <si>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</si>
  <si>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</si>
  <si>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</si>
  <si>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</si>
  <si>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</si>
  <si>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</si>
  <si>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</si>
  <si>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</si>
  <si>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</si>
  <si>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</si>
  <si>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</si>
  <si>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</si>
  <si>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</si>
  <si>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</si>
  <si>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</si>
  <si>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</si>
  <si>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</si>
  <si>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</si>
  <si>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</si>
  <si>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</si>
  <si>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</si>
  <si>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</si>
  <si>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</si>
  <si>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</si>
  <si>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</si>
  <si>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</si>
  <si>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</si>
  <si>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</si>
  <si>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</si>
  <si>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</si>
  <si>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</si>
  <si>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</si>
  <si>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</si>
  <si>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</si>
  <si>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</si>
  <si>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</si>
  <si>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</si>
  <si>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</si>
  <si>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</si>
  <si>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</si>
  <si>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</si>
  <si>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</si>
  <si>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</si>
  <si>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</si>
  <si>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</si>
  <si>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</si>
  <si>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</si>
  <si>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</si>
  <si>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</si>
  <si>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</si>
  <si>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</si>
  <si>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</si>
  <si>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</si>
  <si>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</si>
  <si>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</si>
  <si>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</si>
  <si>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</si>
  <si>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</si>
  <si>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</si>
  <si>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</si>
  <si>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</si>
  <si>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</si>
  <si>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</si>
  <si>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</si>
  <si>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</si>
  <si>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</si>
  <si>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</si>
  <si>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</si>
  <si>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</si>
  <si>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</si>
  <si>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</si>
  <si>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</si>
  <si>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</si>
  <si>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</si>
  <si>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</si>
  <si>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</si>
  <si>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</si>
  <si>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</si>
  <si>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</si>
  <si>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</si>
  <si>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&gt;HHBH</t>
  </si>
  <si>
    <t>Blank</t>
  </si>
  <si>
    <t>2*int16,3*int8</t>
  </si>
  <si>
    <t>&gt;hhbbb</t>
  </si>
  <si>
    <t>0x702</t>
  </si>
  <si>
    <t>Min Cell Voltage</t>
  </si>
  <si>
    <t>Max Cell Voltage</t>
  </si>
  <si>
    <t>Pack kW Power</t>
  </si>
  <si>
    <t>Req. Fan Speed</t>
  </si>
  <si>
    <t>Intake Temperature</t>
  </si>
  <si>
    <t>7*int8</t>
  </si>
  <si>
    <t>&gt;bbbbbbb</t>
  </si>
  <si>
    <t>MSB Current In</t>
  </si>
  <si>
    <t>Flags and MSB Voltage In</t>
  </si>
  <si>
    <t>LSB Voltage In</t>
  </si>
  <si>
    <t>LSB Current In</t>
  </si>
  <si>
    <t>MSB Voltage Out</t>
  </si>
  <si>
    <t>LSB Voltage Out</t>
  </si>
  <si>
    <t>Ambient Temperature</t>
  </si>
  <si>
    <t>7*uint8</t>
  </si>
  <si>
    <t>(ignore this)</t>
  </si>
  <si>
    <t>Javed</t>
  </si>
  <si>
    <t>Woof</t>
  </si>
  <si>
    <t>MPPT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</si>
</sst>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69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8"/>
  <sheetViews>
    <sheetView tabSelected="1" zoomScaleNormal="100" workbookViewId="0">
      <pane ySplit="1" topLeftCell="A2" activePane="bottomLeft" state="frozen"/>
      <selection pane="bottomLeft" activeCell="S33" sqref="S33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bestFit="1" customWidth="1"/>
    <col min="4" max="4" width="9.19921875" style="1" customWidth="1"/>
    <col min="5" max="6" width="10.69921875" style="1" customWidth="1"/>
    <col min="7" max="7" width="8.09765625" style="1" bestFit="1" customWidth="1"/>
    <col min="8" max="8" width="21.09765625" style="2" customWidth="1"/>
    <col min="9" max="9" width="15.69921875" style="2" bestFit="1" customWidth="1"/>
    <col min="10" max="10" width="19.19921875" style="2" bestFit="1" customWidth="1"/>
    <col min="11" max="11" width="13.69921875" style="2" bestFit="1" customWidth="1"/>
    <col min="12" max="12" width="22.69921875" style="2" customWidth="1"/>
    <col min="13" max="13" width="22.19921875" style="2" customWidth="1"/>
    <col min="14" max="14" width="18.69921875" style="2" customWidth="1"/>
    <col min="15" max="15" width="12.19921875" style="2" bestFit="1" customWidth="1"/>
    <col min="16" max="16" width="6.19921875" style="2" bestFit="1" customWidth="1"/>
    <col min="17" max="17" width="13.19921875" style="2" bestFit="1" customWidth="1"/>
    <col min="18" max="18" width="37.69921875" style="2" customWidth="1"/>
    <col min="19" max="19" width="24.5" style="2" bestFit="1" customWidth="1"/>
    <col min="20" max="20" width="148.69921875" style="2" customWidth="1"/>
    <col min="21" max="21" width="24.5" style="2" customWidth="1"/>
    <col min="22" max="22" width="36.19921875" style="2" customWidth="1"/>
    <col min="23" max="23" width="14" style="2" customWidth="1"/>
    <col min="24" max="24" width="15.69921875" style="2" customWidth="1"/>
    <col min="25" max="25" width="14.59765625" style="2" customWidth="1"/>
    <col min="26" max="26" width="18.19921875" style="2" customWidth="1"/>
    <col min="27" max="27" width="16.19921875" style="2" customWidth="1"/>
    <col min="28" max="28" width="16.69921875" style="2" customWidth="1"/>
    <col min="29" max="29" width="11.69921875" style="2" customWidth="1"/>
    <col min="30" max="30" width="10.69921875" style="2"/>
    <col min="31" max="31" width="11.69921875" style="2" customWidth="1"/>
    <col min="32" max="16384" width="10.69921875" style="2"/>
  </cols>
  <sheetData>
    <row r="1" spans="1:31" x14ac:dyDescent="0.3">
      <c r="A1" s="4" t="s">
        <v>12</v>
      </c>
      <c r="B1" s="4" t="s">
        <v>10</v>
      </c>
      <c r="C1" s="4" t="s">
        <v>11</v>
      </c>
      <c r="D1" s="5" t="s">
        <v>33</v>
      </c>
      <c r="E1" s="5" t="s">
        <v>0</v>
      </c>
      <c r="F1" s="5" t="s">
        <v>153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39</v>
      </c>
      <c r="Q1" s="4" t="s">
        <v>40</v>
      </c>
      <c r="R1" s="4" t="s">
        <v>97</v>
      </c>
      <c r="S1" s="17" t="s">
        <v>231</v>
      </c>
      <c r="T1" s="17" t="s">
        <v>238</v>
      </c>
      <c r="U1" s="16" t="s">
        <v>256</v>
      </c>
      <c r="V1" s="17" t="s">
        <v>273</v>
      </c>
      <c r="W1" s="16" t="s">
        <v>274</v>
      </c>
      <c r="X1" s="16" t="s">
        <v>275</v>
      </c>
      <c r="Y1" s="16" t="s">
        <v>276</v>
      </c>
      <c r="Z1" s="16" t="s">
        <v>277</v>
      </c>
      <c r="AA1" s="16" t="s">
        <v>278</v>
      </c>
      <c r="AB1" s="16" t="s">
        <v>279</v>
      </c>
      <c r="AC1" s="16" t="s">
        <v>280</v>
      </c>
      <c r="AD1" s="16" t="s">
        <v>281</v>
      </c>
      <c r="AE1" s="16" t="s">
        <v>282</v>
      </c>
    </row>
    <row r="2" spans="1:31" x14ac:dyDescent="0.3">
      <c r="A2" s="2" t="s">
        <v>36</v>
      </c>
      <c r="B2" s="2" t="s">
        <v>199</v>
      </c>
      <c r="C2" s="2" t="s">
        <v>37</v>
      </c>
      <c r="D2" s="1">
        <v>2</v>
      </c>
      <c r="E2" s="1" t="s">
        <v>15</v>
      </c>
      <c r="F2" s="1">
        <f t="shared" ref="F2:F6" si="0">HEX2DEC(RIGHT(E2,LEN(E2)-2))</f>
        <v>246</v>
      </c>
      <c r="G2" s="1">
        <v>8</v>
      </c>
      <c r="H2" s="2" t="s">
        <v>213</v>
      </c>
      <c r="I2" s="2" t="s">
        <v>206</v>
      </c>
      <c r="J2" s="2" t="s">
        <v>207</v>
      </c>
      <c r="K2" s="2" t="s">
        <v>208</v>
      </c>
      <c r="L2" s="2" t="s">
        <v>209</v>
      </c>
      <c r="M2" s="2" t="s">
        <v>210</v>
      </c>
      <c r="N2" s="2" t="s">
        <v>211</v>
      </c>
      <c r="O2" s="2" t="s">
        <v>212</v>
      </c>
      <c r="P2" s="3">
        <f>IF(ISBLANK(D2),"",1/D2)</f>
        <v>0.5</v>
      </c>
      <c r="Q2" s="3">
        <f>IF(ISBLANK(D2),"",G2/D2)</f>
        <v>4</v>
      </c>
      <c r="R2" s="13" t="s">
        <v>239</v>
      </c>
      <c r="S2" s="18" t="str" cm="1">
        <f t="array" ref="S2">structUnpackCode(R2)</f>
        <v>&lt;BBBBBBBB</v>
      </c>
      <c r="T2" s="18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3">
      <c r="A3" s="2" t="s">
        <v>36</v>
      </c>
      <c r="B3" s="2" t="s">
        <v>200</v>
      </c>
      <c r="C3" s="2" t="s">
        <v>37</v>
      </c>
      <c r="D3" s="1">
        <v>2</v>
      </c>
      <c r="E3" s="1" t="s">
        <v>196</v>
      </c>
      <c r="F3" s="1">
        <f t="shared" si="0"/>
        <v>247</v>
      </c>
      <c r="G3" s="1">
        <v>8</v>
      </c>
      <c r="H3" s="2" t="s">
        <v>205</v>
      </c>
      <c r="I3" s="2" t="s">
        <v>27</v>
      </c>
      <c r="J3" s="2" t="s">
        <v>27</v>
      </c>
      <c r="K3" s="2" t="s">
        <v>27</v>
      </c>
      <c r="L3" s="2" t="s">
        <v>214</v>
      </c>
      <c r="M3" s="2" t="s">
        <v>27</v>
      </c>
      <c r="N3" s="2" t="s">
        <v>27</v>
      </c>
      <c r="O3" s="2" t="s">
        <v>27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222</v>
      </c>
      <c r="S3" s="18" t="str" cm="1">
        <f t="array" ref="S3">structUnpackCode(R3)</f>
        <v>&lt;ff</v>
      </c>
      <c r="T3" s="18" t="str" cm="1">
        <f t="array" ref="T3">CStruct(R3,X3:AE3,G3)</f>
        <v>struct canData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3">
      <c r="A4" s="2" t="s">
        <v>36</v>
      </c>
      <c r="B4" s="2" t="s">
        <v>201</v>
      </c>
      <c r="C4" s="2" t="s">
        <v>37</v>
      </c>
      <c r="D4" s="1">
        <v>2</v>
      </c>
      <c r="E4" s="1" t="s">
        <v>197</v>
      </c>
      <c r="F4" s="1">
        <f t="shared" si="0"/>
        <v>248</v>
      </c>
      <c r="G4" s="1">
        <v>5</v>
      </c>
      <c r="H4" s="2" t="s">
        <v>215</v>
      </c>
      <c r="I4" s="2" t="s">
        <v>27</v>
      </c>
      <c r="J4" s="2" t="s">
        <v>27</v>
      </c>
      <c r="K4" s="2" t="s">
        <v>27</v>
      </c>
      <c r="L4" s="2" t="s">
        <v>217</v>
      </c>
      <c r="M4" s="2" t="s">
        <v>31</v>
      </c>
      <c r="N4" s="2" t="s">
        <v>31</v>
      </c>
      <c r="O4" s="2" t="s">
        <v>31</v>
      </c>
      <c r="P4" s="3">
        <f t="shared" si="1"/>
        <v>0.5</v>
      </c>
      <c r="Q4" s="3">
        <f t="shared" si="2"/>
        <v>2.5</v>
      </c>
      <c r="R4" s="14" t="s">
        <v>224</v>
      </c>
      <c r="S4" s="18" t="str" cm="1">
        <f t="array" ref="S4">structUnpackCode(R4)</f>
        <v>&lt;fc</v>
      </c>
      <c r="T4" s="18" t="str" cm="1">
        <f t="array" ref="T4">CStruct(R4,X4:AE4,G4)</f>
        <v>struct canData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3">
      <c r="A5" s="2" t="s">
        <v>36</v>
      </c>
      <c r="B5" s="2" t="s">
        <v>202</v>
      </c>
      <c r="C5" s="2" t="s">
        <v>37</v>
      </c>
      <c r="D5" s="1">
        <v>2</v>
      </c>
      <c r="E5" s="1" t="s">
        <v>198</v>
      </c>
      <c r="F5" s="1">
        <f t="shared" si="0"/>
        <v>249</v>
      </c>
      <c r="G5" s="1">
        <v>5</v>
      </c>
      <c r="H5" s="2" t="s">
        <v>216</v>
      </c>
      <c r="I5" s="2" t="s">
        <v>27</v>
      </c>
      <c r="J5" s="2" t="s">
        <v>27</v>
      </c>
      <c r="K5" s="2" t="s">
        <v>27</v>
      </c>
      <c r="L5" s="2" t="s">
        <v>218</v>
      </c>
      <c r="M5" s="2" t="s">
        <v>31</v>
      </c>
      <c r="N5" s="2" t="s">
        <v>31</v>
      </c>
      <c r="O5" s="2" t="s">
        <v>31</v>
      </c>
      <c r="P5" s="3">
        <f t="shared" si="1"/>
        <v>0.5</v>
      </c>
      <c r="Q5" s="3">
        <f t="shared" si="2"/>
        <v>2.5</v>
      </c>
      <c r="R5" s="14" t="s">
        <v>224</v>
      </c>
      <c r="S5" s="18" t="str" cm="1">
        <f t="array" ref="S5">structUnpackCode(R5)</f>
        <v>&lt;fc</v>
      </c>
      <c r="T5" s="18" t="str" cm="1">
        <f t="array" ref="T5">CStruct(R5,X5:AE5,G5)</f>
        <v>struct canData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3">
      <c r="A6" s="2" t="s">
        <v>36</v>
      </c>
      <c r="B6" s="2" t="s">
        <v>204</v>
      </c>
      <c r="C6" s="2" t="s">
        <v>37</v>
      </c>
      <c r="D6" s="1">
        <v>2</v>
      </c>
      <c r="E6" s="1" t="s">
        <v>203</v>
      </c>
      <c r="F6" s="1">
        <f t="shared" si="0"/>
        <v>250</v>
      </c>
      <c r="G6" s="1">
        <v>5</v>
      </c>
      <c r="H6" s="2" t="s">
        <v>219</v>
      </c>
      <c r="I6" s="2" t="s">
        <v>27</v>
      </c>
      <c r="J6" s="2" t="s">
        <v>27</v>
      </c>
      <c r="K6" s="2" t="s">
        <v>27</v>
      </c>
      <c r="L6" s="2" t="s">
        <v>220</v>
      </c>
      <c r="M6" s="2" t="s">
        <v>31</v>
      </c>
      <c r="N6" s="2" t="s">
        <v>31</v>
      </c>
      <c r="O6" s="2" t="s">
        <v>31</v>
      </c>
      <c r="P6" s="3">
        <f t="shared" si="1"/>
        <v>0.5</v>
      </c>
      <c r="Q6" s="3">
        <f t="shared" si="2"/>
        <v>2.5</v>
      </c>
      <c r="R6" s="14" t="s">
        <v>240</v>
      </c>
      <c r="S6" s="18" t="str" cm="1">
        <f t="array" ref="S6">structUnpackCode(R6)</f>
        <v>&lt;fB</v>
      </c>
      <c r="T6" s="18" t="str" cm="1">
        <f t="array" ref="T6">CStruct(R6,X6:AE6,G6)</f>
        <v>struct canData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3">
      <c r="A7" s="2" t="s">
        <v>36</v>
      </c>
      <c r="B7" s="2" t="s">
        <v>155</v>
      </c>
      <c r="C7" s="2" t="s">
        <v>37</v>
      </c>
      <c r="D7" s="1">
        <v>2</v>
      </c>
      <c r="E7" s="1" t="s">
        <v>154</v>
      </c>
      <c r="F7" s="1">
        <f t="shared" ref="F7:F32" si="3">HEX2DEC(RIGHT(E7,LEN(E7)-2))</f>
        <v>273</v>
      </c>
      <c r="G7" s="1">
        <v>8</v>
      </c>
      <c r="H7" s="2" t="s">
        <v>178</v>
      </c>
      <c r="I7" s="2" t="s">
        <v>179</v>
      </c>
      <c r="J7" s="2" t="s">
        <v>180</v>
      </c>
      <c r="K7" s="2" t="s">
        <v>181</v>
      </c>
      <c r="L7" s="2" t="s">
        <v>182</v>
      </c>
      <c r="M7" s="2" t="s">
        <v>228</v>
      </c>
      <c r="N7" s="2" t="s">
        <v>229</v>
      </c>
      <c r="O7" s="2" t="s">
        <v>230</v>
      </c>
      <c r="P7" s="3">
        <f t="shared" si="1"/>
        <v>0.5</v>
      </c>
      <c r="Q7" s="3">
        <f t="shared" si="2"/>
        <v>4</v>
      </c>
      <c r="R7" s="15" t="s">
        <v>239</v>
      </c>
      <c r="S7" s="18" t="str" cm="1">
        <f t="array" ref="S7">structUnpackCode(R7)</f>
        <v>&lt;BBBBBBBB</v>
      </c>
      <c r="T7" s="18" t="str" cm="1">
        <f t="array" ref="T7">CStruct(R7,X7:AE7,G7)</f>
        <v>struct canData {_x000D_
	uint8_t Power;_x000D_
	uint8_t WritingToSd;_x000D_
	uint8_t GpsTimeObtained;_x000D_
	uint8_t LoadedConfig;_x000D_
	uint8_t Flag;_x000D_
	uint8_t Spare1;_x000D_
	uint8_t Spare2;_x000D_
	uint8_t Spare3;_x000D_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 &amp; "1"</f>
        <v>Spare1</v>
      </c>
      <c r="AD7" s="19" t="str" cm="1">
        <f t="array" ref="AD7">IF(OR(N7="IN USE", N7="-"), "-", CamelCase(N7)) &amp; "2"</f>
        <v>Spare2</v>
      </c>
      <c r="AE7" s="19" t="str" cm="1">
        <f t="array" ref="AE7">IF(OR(O7="IN USE", O7="-"), "-", CamelCase(O7)) &amp; "3"</f>
        <v>Spare3</v>
      </c>
    </row>
    <row r="8" spans="1:31" x14ac:dyDescent="0.3">
      <c r="A8" s="2" t="s">
        <v>36</v>
      </c>
      <c r="B8" s="12" t="s">
        <v>185</v>
      </c>
      <c r="C8" s="2" t="s">
        <v>156</v>
      </c>
      <c r="E8" s="1" t="s">
        <v>161</v>
      </c>
      <c r="F8" s="1">
        <f t="shared" si="3"/>
        <v>433</v>
      </c>
      <c r="G8" s="1">
        <v>8</v>
      </c>
      <c r="H8" s="2" t="s">
        <v>157</v>
      </c>
      <c r="I8" s="2" t="s">
        <v>27</v>
      </c>
      <c r="J8" s="2" t="s">
        <v>27</v>
      </c>
      <c r="K8" s="2" t="s">
        <v>27</v>
      </c>
      <c r="L8" s="2" t="s">
        <v>158</v>
      </c>
      <c r="M8" s="2" t="s">
        <v>27</v>
      </c>
      <c r="N8" s="2" t="s">
        <v>27</v>
      </c>
      <c r="O8" s="2" t="s">
        <v>27</v>
      </c>
      <c r="P8" s="3" t="str">
        <f t="shared" si="1"/>
        <v/>
      </c>
      <c r="Q8" s="3" t="str">
        <f t="shared" si="2"/>
        <v/>
      </c>
      <c r="R8" s="7" t="s">
        <v>222</v>
      </c>
      <c r="S8" s="18" t="str" cm="1">
        <f t="array" ref="S8">structUnpackCode(R8)</f>
        <v>&lt;ff</v>
      </c>
      <c r="T8" s="18" t="str" cm="1">
        <f t="array" ref="T8">CStruct(R8,X8:AE8,G8)</f>
        <v>struct canData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3">
      <c r="A9" s="2" t="s">
        <v>36</v>
      </c>
      <c r="B9" s="12" t="s">
        <v>186</v>
      </c>
      <c r="C9" s="2" t="s">
        <v>156</v>
      </c>
      <c r="E9" s="1" t="s">
        <v>162</v>
      </c>
      <c r="F9" s="1">
        <f t="shared" si="3"/>
        <v>434</v>
      </c>
      <c r="G9" s="1">
        <v>8</v>
      </c>
      <c r="H9" s="2" t="s">
        <v>160</v>
      </c>
      <c r="I9" s="2" t="s">
        <v>27</v>
      </c>
      <c r="J9" s="2" t="s">
        <v>27</v>
      </c>
      <c r="K9" s="2" t="s">
        <v>27</v>
      </c>
      <c r="L9" s="2" t="s">
        <v>159</v>
      </c>
      <c r="M9" s="2" t="s">
        <v>27</v>
      </c>
      <c r="N9" s="2" t="s">
        <v>27</v>
      </c>
      <c r="O9" s="2" t="s">
        <v>27</v>
      </c>
      <c r="P9" s="3" t="str">
        <f t="shared" si="1"/>
        <v/>
      </c>
      <c r="Q9" s="3" t="str">
        <f t="shared" si="2"/>
        <v/>
      </c>
      <c r="R9" s="7" t="s">
        <v>225</v>
      </c>
      <c r="S9" s="18" t="str" cm="1">
        <f t="array" ref="S9">structUnpackCode(R9)</f>
        <v>&lt;fi</v>
      </c>
      <c r="T9" s="18" t="str" cm="1">
        <f t="array" ref="T9">CStruct(R9,X9:AE9,G9)</f>
        <v>struct canData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3">
      <c r="A10" s="2" t="s">
        <v>36</v>
      </c>
      <c r="B10" s="2" t="s">
        <v>45</v>
      </c>
      <c r="C10" s="2" t="s">
        <v>13</v>
      </c>
      <c r="D10" s="1">
        <v>0.1</v>
      </c>
      <c r="E10" s="1" t="s">
        <v>43</v>
      </c>
      <c r="F10" s="1">
        <f t="shared" si="3"/>
        <v>1281</v>
      </c>
      <c r="G10" s="1">
        <v>8</v>
      </c>
      <c r="H10" s="2" t="s">
        <v>176</v>
      </c>
      <c r="I10" s="2" t="s">
        <v>27</v>
      </c>
      <c r="J10" s="2" t="s">
        <v>27</v>
      </c>
      <c r="K10" s="2" t="s">
        <v>27</v>
      </c>
      <c r="L10" s="2" t="s">
        <v>177</v>
      </c>
      <c r="M10" s="2" t="s">
        <v>27</v>
      </c>
      <c r="N10" s="2" t="s">
        <v>27</v>
      </c>
      <c r="O10" s="2" t="s">
        <v>27</v>
      </c>
      <c r="P10" s="3">
        <f t="shared" ref="P10:P34" si="4">IF(ISBLANK(D10),"",1/D10)</f>
        <v>10</v>
      </c>
      <c r="Q10" s="3">
        <f t="shared" ref="Q10:Q36" si="5">IF(ISBLANK(D10),"",G10/D10)</f>
        <v>80</v>
      </c>
      <c r="R10" s="7" t="s">
        <v>222</v>
      </c>
      <c r="S10" s="18" t="str" cm="1">
        <f t="array" ref="S10">structUnpackCode(R10)</f>
        <v>&lt;ff</v>
      </c>
      <c r="T10" s="18" t="str" cm="1">
        <f t="array" ref="T10">CStruct(R10,X10:AE10,G10)</f>
        <v>struct canData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3">
      <c r="A11" s="2" t="s">
        <v>38</v>
      </c>
      <c r="B11" s="2" t="s">
        <v>46</v>
      </c>
      <c r="C11" s="2" t="s">
        <v>13</v>
      </c>
      <c r="D11" s="1">
        <v>0.5</v>
      </c>
      <c r="E11" s="1" t="s">
        <v>44</v>
      </c>
      <c r="F11" s="1">
        <f t="shared" si="3"/>
        <v>1282</v>
      </c>
      <c r="G11" s="1">
        <v>8</v>
      </c>
      <c r="H11" t="s">
        <v>272</v>
      </c>
      <c r="I11" s="2" t="s">
        <v>31</v>
      </c>
      <c r="J11" s="2" t="s">
        <v>31</v>
      </c>
      <c r="K11" s="2" t="s">
        <v>31</v>
      </c>
      <c r="L11" s="2" t="s">
        <v>271</v>
      </c>
      <c r="M11" s="2" t="s">
        <v>27</v>
      </c>
      <c r="N11" s="2" t="s">
        <v>27</v>
      </c>
      <c r="O11" s="2" t="s">
        <v>27</v>
      </c>
      <c r="P11" s="3">
        <f t="shared" si="4"/>
        <v>2</v>
      </c>
      <c r="Q11" s="3">
        <f t="shared" si="5"/>
        <v>16</v>
      </c>
      <c r="R11" s="7" t="s">
        <v>222</v>
      </c>
      <c r="S11" s="18" t="str" cm="1">
        <f t="array" ref="S11">structUnpackCode(R11)</f>
        <v>&lt;ff</v>
      </c>
      <c r="T11" s="18" t="str" cm="1">
        <f t="array" ref="T11">CStruct(R11,X11:AE11,G11)</f>
        <v>struct canData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3">
      <c r="A12" s="2" t="s">
        <v>38</v>
      </c>
      <c r="B12" s="2" t="s">
        <v>61</v>
      </c>
      <c r="C12" s="2" t="s">
        <v>14</v>
      </c>
      <c r="D12" s="1">
        <v>1</v>
      </c>
      <c r="E12" s="1" t="s">
        <v>47</v>
      </c>
      <c r="F12" s="1">
        <f t="shared" si="3"/>
        <v>1536</v>
      </c>
      <c r="G12" s="1">
        <v>8</v>
      </c>
      <c r="H12" s="2" t="s">
        <v>165</v>
      </c>
      <c r="I12" s="2" t="s">
        <v>27</v>
      </c>
      <c r="J12" s="2" t="s">
        <v>27</v>
      </c>
      <c r="K12" s="2" t="s">
        <v>27</v>
      </c>
      <c r="L12" s="2" t="s">
        <v>170</v>
      </c>
      <c r="M12" s="2" t="s">
        <v>27</v>
      </c>
      <c r="N12" s="2" t="s">
        <v>27</v>
      </c>
      <c r="O12" s="2" t="s">
        <v>27</v>
      </c>
      <c r="P12" s="3">
        <f t="shared" si="4"/>
        <v>1</v>
      </c>
      <c r="Q12" s="3">
        <f t="shared" si="5"/>
        <v>8</v>
      </c>
      <c r="R12" s="8" t="s">
        <v>254</v>
      </c>
      <c r="S12" s="18" t="str" cm="1">
        <f t="array" ref="S12">structUnpackCode(R12)</f>
        <v>&lt;II</v>
      </c>
      <c r="T12" s="18" t="str" cm="1">
        <f t="array" ref="T12">CStruct(R12,X12:AE12,G12)</f>
        <v>struct canData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3">
      <c r="A13" s="2" t="s">
        <v>36</v>
      </c>
      <c r="B13" s="2" t="s">
        <v>62</v>
      </c>
      <c r="C13" s="2" t="s">
        <v>14</v>
      </c>
      <c r="D13" s="1">
        <v>0.2</v>
      </c>
      <c r="E13" s="1" t="s">
        <v>48</v>
      </c>
      <c r="F13" s="1">
        <f t="shared" si="3"/>
        <v>1537</v>
      </c>
      <c r="G13" s="1">
        <v>8</v>
      </c>
      <c r="H13" s="2" t="s">
        <v>169</v>
      </c>
      <c r="I13" s="2" t="s">
        <v>27</v>
      </c>
      <c r="J13" s="2" t="s">
        <v>168</v>
      </c>
      <c r="K13" s="2" t="s">
        <v>27</v>
      </c>
      <c r="L13" s="2" t="s">
        <v>167</v>
      </c>
      <c r="M13" s="2" t="s">
        <v>27</v>
      </c>
      <c r="N13" s="2" t="s">
        <v>288</v>
      </c>
      <c r="O13" s="2" t="s">
        <v>289</v>
      </c>
      <c r="P13" s="3">
        <f t="shared" si="4"/>
        <v>5</v>
      </c>
      <c r="Q13" s="3">
        <f t="shared" si="5"/>
        <v>40</v>
      </c>
      <c r="R13" s="8" t="s">
        <v>290</v>
      </c>
      <c r="S13" s="18" t="str" cm="1">
        <f t="array" ref="S13">structUnpackCode(R13)</f>
        <v>&lt;HHHBB</v>
      </c>
      <c r="T13" s="18" t="str" cm="1">
        <f t="array" ref="T13">CStruct(R13,X13:AE13,G13)</f>
        <v>struct canData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3">
      <c r="A14" s="2" t="s">
        <v>36</v>
      </c>
      <c r="B14" s="2" t="s">
        <v>171</v>
      </c>
      <c r="C14" s="2" t="s">
        <v>14</v>
      </c>
      <c r="D14" s="1">
        <v>0.2</v>
      </c>
      <c r="E14" s="1" t="s">
        <v>49</v>
      </c>
      <c r="F14" s="1">
        <f t="shared" si="3"/>
        <v>1538</v>
      </c>
      <c r="G14" s="1">
        <v>8</v>
      </c>
      <c r="H14" s="2" t="s">
        <v>270</v>
      </c>
      <c r="I14" s="2" t="s">
        <v>27</v>
      </c>
      <c r="J14" s="2" t="s">
        <v>27</v>
      </c>
      <c r="K14" s="2" t="s">
        <v>27</v>
      </c>
      <c r="L14" s="2" t="s">
        <v>258</v>
      </c>
      <c r="M14" s="2" t="s">
        <v>27</v>
      </c>
      <c r="N14" s="2" t="s">
        <v>27</v>
      </c>
      <c r="O14" s="2" t="s">
        <v>27</v>
      </c>
      <c r="P14" s="3">
        <f t="shared" si="4"/>
        <v>5</v>
      </c>
      <c r="Q14" s="3">
        <f t="shared" si="5"/>
        <v>40</v>
      </c>
      <c r="R14" s="7" t="s">
        <v>222</v>
      </c>
      <c r="S14" s="18" t="str" cm="1">
        <f t="array" ref="S14">structUnpackCode(R14)</f>
        <v>&lt;ff</v>
      </c>
      <c r="T14" s="18" t="str" cm="1">
        <f t="array" ref="T14">CStruct(R14,X14:AE14,G14)</f>
        <v>struct canData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3">
      <c r="A15" s="2" t="s">
        <v>36</v>
      </c>
      <c r="B15" s="2" t="s">
        <v>291</v>
      </c>
      <c r="C15" s="2" t="s">
        <v>14</v>
      </c>
      <c r="D15" s="1">
        <v>0.2</v>
      </c>
      <c r="E15" s="1" t="s">
        <v>42</v>
      </c>
      <c r="F15" s="1">
        <f t="shared" si="3"/>
        <v>1539</v>
      </c>
      <c r="G15" s="1">
        <v>8</v>
      </c>
      <c r="H15" s="2" t="s">
        <v>269</v>
      </c>
      <c r="I15" s="2" t="s">
        <v>27</v>
      </c>
      <c r="J15" s="2" t="s">
        <v>27</v>
      </c>
      <c r="K15" s="2" t="s">
        <v>27</v>
      </c>
      <c r="L15" s="2" t="s">
        <v>259</v>
      </c>
      <c r="M15" s="2" t="s">
        <v>27</v>
      </c>
      <c r="N15" s="2" t="s">
        <v>27</v>
      </c>
      <c r="O15" s="2" t="s">
        <v>27</v>
      </c>
      <c r="P15" s="3">
        <f t="shared" si="4"/>
        <v>5</v>
      </c>
      <c r="Q15" s="3">
        <f t="shared" si="5"/>
        <v>40</v>
      </c>
      <c r="R15" s="7" t="s">
        <v>222</v>
      </c>
      <c r="S15" s="18" t="str" cm="1">
        <f t="array" ref="S15">structUnpackCode(R15)</f>
        <v>&lt;ff</v>
      </c>
      <c r="T15" s="18" t="str" cm="1">
        <f t="array" ref="T15">CStruct(R15,X15:AE15,G15)</f>
        <v>struct canData {_x000D_
	float MotorVelocity;_x000D_
	float VehicleVelocity;_x000D_
}</v>
      </c>
      <c r="U15" s="18"/>
      <c r="V15" s="19" t="s">
        <v>257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3">
      <c r="A16" s="2" t="s">
        <v>36</v>
      </c>
      <c r="B16" s="2" t="s">
        <v>63</v>
      </c>
      <c r="C16" s="2" t="s">
        <v>14</v>
      </c>
      <c r="D16" s="1">
        <v>0.2</v>
      </c>
      <c r="E16" s="1" t="s">
        <v>50</v>
      </c>
      <c r="F16" s="1">
        <f t="shared" si="3"/>
        <v>1540</v>
      </c>
      <c r="G16" s="1">
        <v>8</v>
      </c>
      <c r="H16" s="2" t="s">
        <v>268</v>
      </c>
      <c r="I16" s="2" t="s">
        <v>27</v>
      </c>
      <c r="J16" s="2" t="s">
        <v>27</v>
      </c>
      <c r="K16" s="2" t="s">
        <v>27</v>
      </c>
      <c r="L16" s="2" t="s">
        <v>292</v>
      </c>
      <c r="M16" s="2" t="s">
        <v>27</v>
      </c>
      <c r="N16" s="2" t="s">
        <v>27</v>
      </c>
      <c r="O16" s="2" t="s">
        <v>27</v>
      </c>
      <c r="P16" s="3">
        <f t="shared" si="4"/>
        <v>5</v>
      </c>
      <c r="Q16" s="3">
        <f t="shared" si="5"/>
        <v>40</v>
      </c>
      <c r="R16" s="7" t="s">
        <v>222</v>
      </c>
      <c r="S16" s="18" t="str" cm="1">
        <f t="array" ref="S16">structUnpackCode(R16)</f>
        <v>&lt;ff</v>
      </c>
      <c r="T16" s="18" t="str" cm="1">
        <f t="array" ref="T16">CStruct(R16,X16:AE16,G16)</f>
        <v>struct canData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3">
      <c r="A17" s="2" t="s">
        <v>36</v>
      </c>
      <c r="B17" s="2" t="s">
        <v>64</v>
      </c>
      <c r="C17" s="2" t="s">
        <v>14</v>
      </c>
      <c r="D17" s="1">
        <v>0.2</v>
      </c>
      <c r="E17" s="1" t="s">
        <v>51</v>
      </c>
      <c r="F17" s="1">
        <f t="shared" si="3"/>
        <v>1541</v>
      </c>
      <c r="G17" s="1">
        <v>8</v>
      </c>
      <c r="H17" s="2" t="s">
        <v>267</v>
      </c>
      <c r="I17" s="2" t="s">
        <v>27</v>
      </c>
      <c r="J17" s="2" t="s">
        <v>27</v>
      </c>
      <c r="K17" s="2" t="s">
        <v>27</v>
      </c>
      <c r="L17" s="2" t="s">
        <v>260</v>
      </c>
      <c r="M17" s="2" t="s">
        <v>27</v>
      </c>
      <c r="N17" s="2" t="s">
        <v>27</v>
      </c>
      <c r="O17" s="2" t="s">
        <v>27</v>
      </c>
      <c r="P17" s="3">
        <f t="shared" si="4"/>
        <v>5</v>
      </c>
      <c r="Q17" s="3">
        <f t="shared" si="5"/>
        <v>40</v>
      </c>
      <c r="R17" s="7" t="s">
        <v>222</v>
      </c>
      <c r="S17" s="18" t="str" cm="1">
        <f t="array" ref="S17">structUnpackCode(R17)</f>
        <v>&lt;ff</v>
      </c>
      <c r="T17" s="18" t="str" cm="1">
        <f t="array" ref="T17">CStruct(R17,X17:AE17,G17)</f>
        <v>struct canData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3">
      <c r="A18" s="2" t="s">
        <v>36</v>
      </c>
      <c r="B18" s="2" t="s">
        <v>65</v>
      </c>
      <c r="C18" s="2" t="s">
        <v>14</v>
      </c>
      <c r="D18" s="1">
        <v>0.2</v>
      </c>
      <c r="E18" s="1" t="s">
        <v>52</v>
      </c>
      <c r="F18" s="1">
        <f t="shared" si="3"/>
        <v>1542</v>
      </c>
      <c r="G18" s="1">
        <v>8</v>
      </c>
      <c r="H18" s="2" t="s">
        <v>266</v>
      </c>
      <c r="I18" s="2" t="s">
        <v>27</v>
      </c>
      <c r="J18" s="2" t="s">
        <v>27</v>
      </c>
      <c r="K18" s="2" t="s">
        <v>27</v>
      </c>
      <c r="L18" s="2" t="s">
        <v>261</v>
      </c>
      <c r="M18" s="2" t="s">
        <v>27</v>
      </c>
      <c r="N18" s="2" t="s">
        <v>27</v>
      </c>
      <c r="O18" s="2" t="s">
        <v>27</v>
      </c>
      <c r="P18" s="3">
        <f t="shared" si="4"/>
        <v>5</v>
      </c>
      <c r="Q18" s="3">
        <f t="shared" si="5"/>
        <v>40</v>
      </c>
      <c r="R18" s="7" t="s">
        <v>222</v>
      </c>
      <c r="S18" s="18" t="str" cm="1">
        <f t="array" ref="S18">structUnpackCode(R18)</f>
        <v>&lt;ff</v>
      </c>
      <c r="T18" s="18" t="str" cm="1">
        <f t="array" ref="T18">CStruct(R18,X18:AE18,G18)</f>
        <v>struct canData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3">
      <c r="A19" s="2" t="s">
        <v>36</v>
      </c>
      <c r="B19" s="2" t="s">
        <v>66</v>
      </c>
      <c r="C19" s="2" t="s">
        <v>14</v>
      </c>
      <c r="D19" s="1">
        <v>0.2</v>
      </c>
      <c r="E19" s="1" t="s">
        <v>53</v>
      </c>
      <c r="F19" s="1">
        <f t="shared" si="3"/>
        <v>1543</v>
      </c>
      <c r="G19" s="1">
        <v>8</v>
      </c>
      <c r="H19" s="2" t="s">
        <v>293</v>
      </c>
      <c r="I19" s="2" t="s">
        <v>27</v>
      </c>
      <c r="J19" s="2" t="s">
        <v>27</v>
      </c>
      <c r="K19" s="2" t="s">
        <v>27</v>
      </c>
      <c r="L19" s="2" t="s">
        <v>294</v>
      </c>
      <c r="M19" s="2" t="s">
        <v>27</v>
      </c>
      <c r="N19" s="2" t="s">
        <v>27</v>
      </c>
      <c r="O19" s="2" t="s">
        <v>27</v>
      </c>
      <c r="P19" s="3">
        <f t="shared" si="4"/>
        <v>5</v>
      </c>
      <c r="Q19" s="3">
        <f t="shared" si="5"/>
        <v>40</v>
      </c>
      <c r="R19" s="7" t="s">
        <v>222</v>
      </c>
      <c r="S19" s="18" t="str" cm="1">
        <f t="array" ref="S19">structUnpackCode(R19)</f>
        <v>&lt;ff</v>
      </c>
      <c r="T19" s="18" t="str" cm="1">
        <f t="array" ref="T19">CStruct(R19,X19:AE19,G19)</f>
        <v>struct canData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3">
      <c r="A20" s="2" t="s">
        <v>36</v>
      </c>
      <c r="B20" s="2" t="s">
        <v>295</v>
      </c>
      <c r="C20" s="2" t="s">
        <v>14</v>
      </c>
      <c r="D20" s="1">
        <v>1</v>
      </c>
      <c r="E20" s="1" t="s">
        <v>54</v>
      </c>
      <c r="F20" s="1">
        <f t="shared" si="3"/>
        <v>1544</v>
      </c>
      <c r="G20" s="1">
        <v>8</v>
      </c>
      <c r="H20" s="2" t="s">
        <v>166</v>
      </c>
      <c r="I20" s="2" t="s">
        <v>27</v>
      </c>
      <c r="J20" s="2" t="s">
        <v>27</v>
      </c>
      <c r="K20" s="2" t="s">
        <v>27</v>
      </c>
      <c r="L20" s="2" t="s">
        <v>262</v>
      </c>
      <c r="M20" s="2" t="s">
        <v>27</v>
      </c>
      <c r="N20" s="2" t="s">
        <v>27</v>
      </c>
      <c r="O20" s="2" t="s">
        <v>27</v>
      </c>
      <c r="P20" s="3">
        <f t="shared" si="4"/>
        <v>1</v>
      </c>
      <c r="Q20" s="3">
        <f t="shared" si="5"/>
        <v>8</v>
      </c>
      <c r="R20" s="7" t="s">
        <v>222</v>
      </c>
      <c r="S20" s="18" t="str" cm="1">
        <f t="array" ref="S20">structUnpackCode(R20)</f>
        <v>&lt;ff</v>
      </c>
      <c r="T20" s="18" t="str" cm="1">
        <f t="array" ref="T20">CStruct(R20,X20:AE20,G20)</f>
        <v>struct canData {_x000D_
	float Reserved;_x000D_
	float FifteenVSupply;_x000D_
}</v>
      </c>
      <c r="U20" s="18"/>
      <c r="V20" s="19" t="s">
        <v>296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3">
      <c r="A21" s="2" t="s">
        <v>36</v>
      </c>
      <c r="B21" s="2" t="s">
        <v>297</v>
      </c>
      <c r="C21" s="2" t="s">
        <v>14</v>
      </c>
      <c r="D21" s="1">
        <v>1</v>
      </c>
      <c r="E21" s="1" t="s">
        <v>55</v>
      </c>
      <c r="F21" s="1">
        <f t="shared" si="3"/>
        <v>1545</v>
      </c>
      <c r="G21" s="1">
        <v>8</v>
      </c>
      <c r="H21" s="2" t="s">
        <v>298</v>
      </c>
      <c r="I21" s="2" t="s">
        <v>27</v>
      </c>
      <c r="J21" s="2" t="s">
        <v>27</v>
      </c>
      <c r="K21" s="2" t="s">
        <v>27</v>
      </c>
      <c r="L21" s="2" t="s">
        <v>299</v>
      </c>
      <c r="M21" s="2" t="s">
        <v>27</v>
      </c>
      <c r="N21" s="2" t="s">
        <v>27</v>
      </c>
      <c r="O21" s="2" t="s">
        <v>27</v>
      </c>
      <c r="P21" s="3">
        <f t="shared" si="4"/>
        <v>1</v>
      </c>
      <c r="Q21" s="3">
        <f t="shared" si="5"/>
        <v>8</v>
      </c>
      <c r="R21" s="7" t="s">
        <v>222</v>
      </c>
      <c r="S21" s="18" t="str" cm="1">
        <f t="array" ref="S21">structUnpackCode(R21)</f>
        <v>&lt;ff</v>
      </c>
      <c r="T21" s="18" t="str" cm="1">
        <f t="array" ref="T21">CStruct(R21,X21:AE21,G21)</f>
        <v>struct canData {_x000D_
	float OneNineVSupply;_x000D_
	float ThreeThreeVSupply;_x000D_
}</v>
      </c>
      <c r="U21" s="18"/>
      <c r="V21" s="19" t="s">
        <v>300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3">
      <c r="A22" s="2" t="s">
        <v>35</v>
      </c>
      <c r="B22" s="2" t="s">
        <v>166</v>
      </c>
      <c r="C22" s="2" t="s">
        <v>14</v>
      </c>
      <c r="D22" s="1">
        <v>1</v>
      </c>
      <c r="E22" s="1" t="s">
        <v>56</v>
      </c>
      <c r="F22" s="1">
        <f t="shared" si="3"/>
        <v>1546</v>
      </c>
      <c r="G22" s="1">
        <v>8</v>
      </c>
      <c r="H22" s="2" t="s">
        <v>166</v>
      </c>
      <c r="I22" s="2" t="s">
        <v>27</v>
      </c>
      <c r="J22" s="2" t="s">
        <v>27</v>
      </c>
      <c r="K22" s="2" t="s">
        <v>27</v>
      </c>
      <c r="L22" s="2" t="s">
        <v>166</v>
      </c>
      <c r="M22" s="2" t="s">
        <v>27</v>
      </c>
      <c r="N22" s="2" t="s">
        <v>27</v>
      </c>
      <c r="O22" s="2" t="s">
        <v>27</v>
      </c>
      <c r="P22" s="3">
        <f t="shared" si="4"/>
        <v>1</v>
      </c>
      <c r="Q22" s="3">
        <f t="shared" si="5"/>
        <v>8</v>
      </c>
      <c r="R22" s="7" t="s">
        <v>222</v>
      </c>
      <c r="S22" s="18" t="str" cm="1">
        <f t="array" ref="S22">structUnpackCode(R22)</f>
        <v>&lt;ff</v>
      </c>
      <c r="T22" s="18" t="str" cm="1">
        <f t="array" ref="T22">CStruct(R22,X22:AE22,G22)</f>
        <v>struct canData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3">
      <c r="A23" s="2" t="s">
        <v>36</v>
      </c>
      <c r="B23" s="2" t="s">
        <v>67</v>
      </c>
      <c r="C23" s="2" t="s">
        <v>14</v>
      </c>
      <c r="D23" s="1">
        <v>1</v>
      </c>
      <c r="E23" s="1" t="s">
        <v>57</v>
      </c>
      <c r="F23" s="1">
        <f t="shared" si="3"/>
        <v>1547</v>
      </c>
      <c r="G23" s="1">
        <v>8</v>
      </c>
      <c r="H23" s="2" t="s">
        <v>265</v>
      </c>
      <c r="I23" s="2" t="s">
        <v>27</v>
      </c>
      <c r="J23" s="2" t="s">
        <v>27</v>
      </c>
      <c r="K23" s="2" t="s">
        <v>27</v>
      </c>
      <c r="L23" s="2" t="s">
        <v>263</v>
      </c>
      <c r="M23" s="2" t="s">
        <v>27</v>
      </c>
      <c r="N23" s="2" t="s">
        <v>27</v>
      </c>
      <c r="O23" s="2" t="s">
        <v>27</v>
      </c>
      <c r="P23" s="3">
        <f t="shared" si="4"/>
        <v>1</v>
      </c>
      <c r="Q23" s="3">
        <f t="shared" si="5"/>
        <v>8</v>
      </c>
      <c r="R23" s="7" t="s">
        <v>222</v>
      </c>
      <c r="S23" s="18" t="str" cm="1">
        <f t="array" ref="S23">structUnpackCode(R23)</f>
        <v>&lt;ff</v>
      </c>
      <c r="T23" s="18" t="str" cm="1">
        <f t="array" ref="T23">CStruct(R23,X23:AE23,G23)</f>
        <v>struct canData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3">
      <c r="A24" s="2" t="s">
        <v>36</v>
      </c>
      <c r="B24" s="2" t="s">
        <v>301</v>
      </c>
      <c r="C24" s="2" t="s">
        <v>14</v>
      </c>
      <c r="D24" s="1">
        <v>1</v>
      </c>
      <c r="E24" s="1" t="s">
        <v>58</v>
      </c>
      <c r="F24" s="1">
        <f t="shared" si="3"/>
        <v>1548</v>
      </c>
      <c r="G24" s="1">
        <v>8</v>
      </c>
      <c r="H24" s="2" t="s">
        <v>302</v>
      </c>
      <c r="I24" s="2" t="s">
        <v>27</v>
      </c>
      <c r="J24" s="2" t="s">
        <v>27</v>
      </c>
      <c r="K24" s="2" t="s">
        <v>27</v>
      </c>
      <c r="L24" s="2" t="s">
        <v>166</v>
      </c>
      <c r="M24" s="2" t="s">
        <v>27</v>
      </c>
      <c r="N24" s="2" t="s">
        <v>27</v>
      </c>
      <c r="O24" s="2" t="s">
        <v>27</v>
      </c>
      <c r="P24" s="3">
        <f t="shared" si="4"/>
        <v>1</v>
      </c>
      <c r="Q24" s="3">
        <f t="shared" si="5"/>
        <v>8</v>
      </c>
      <c r="R24" s="7" t="s">
        <v>222</v>
      </c>
      <c r="S24" s="18" t="str" cm="1">
        <f t="array" ref="S24">structUnpackCode(R24)</f>
        <v>&lt;ff</v>
      </c>
      <c r="T24" s="18" t="str" cm="1">
        <f t="array" ref="T24">CStruct(R24,X24:AE24,G24)</f>
        <v>struct canData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3">
      <c r="A25" s="2" t="s">
        <v>35</v>
      </c>
      <c r="B25" s="2" t="s">
        <v>166</v>
      </c>
      <c r="C25" s="2" t="s">
        <v>14</v>
      </c>
      <c r="D25" s="1">
        <v>1</v>
      </c>
      <c r="E25" s="1" t="s">
        <v>59</v>
      </c>
      <c r="F25" s="1">
        <f t="shared" si="3"/>
        <v>1549</v>
      </c>
      <c r="G25" s="1">
        <v>8</v>
      </c>
      <c r="H25" s="2" t="s">
        <v>166</v>
      </c>
      <c r="I25" s="2" t="s">
        <v>27</v>
      </c>
      <c r="J25" s="2" t="s">
        <v>27</v>
      </c>
      <c r="K25" s="2" t="s">
        <v>27</v>
      </c>
      <c r="L25" s="2" t="s">
        <v>166</v>
      </c>
      <c r="M25" s="2" t="s">
        <v>27</v>
      </c>
      <c r="N25" s="2" t="s">
        <v>27</v>
      </c>
      <c r="O25" s="2" t="s">
        <v>27</v>
      </c>
      <c r="P25" s="3">
        <f t="shared" si="4"/>
        <v>1</v>
      </c>
      <c r="Q25" s="3">
        <f t="shared" si="5"/>
        <v>8</v>
      </c>
      <c r="R25" s="7" t="s">
        <v>222</v>
      </c>
      <c r="S25" s="18" t="str" cm="1">
        <f t="array" ref="S25">structUnpackCode(R25)</f>
        <v>&lt;ff</v>
      </c>
      <c r="T25" s="18" t="str" cm="1">
        <f t="array" ref="T25">CStruct(R25,X25:AE25,G25)</f>
        <v>struct canData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3">
      <c r="A26" s="2" t="s">
        <v>36</v>
      </c>
      <c r="B26" s="2" t="s">
        <v>68</v>
      </c>
      <c r="C26" s="2" t="s">
        <v>14</v>
      </c>
      <c r="D26" s="1">
        <v>1</v>
      </c>
      <c r="E26" s="1" t="s">
        <v>60</v>
      </c>
      <c r="F26" s="1">
        <f t="shared" si="3"/>
        <v>1550</v>
      </c>
      <c r="G26" s="1">
        <v>8</v>
      </c>
      <c r="H26" s="2" t="s">
        <v>94</v>
      </c>
      <c r="I26" s="2" t="s">
        <v>27</v>
      </c>
      <c r="J26" s="2" t="s">
        <v>27</v>
      </c>
      <c r="K26" s="2" t="s">
        <v>27</v>
      </c>
      <c r="L26" s="2" t="s">
        <v>264</v>
      </c>
      <c r="M26" s="2" t="s">
        <v>27</v>
      </c>
      <c r="N26" s="2" t="s">
        <v>27</v>
      </c>
      <c r="O26" s="2" t="s">
        <v>27</v>
      </c>
      <c r="P26" s="3">
        <f t="shared" si="4"/>
        <v>1</v>
      </c>
      <c r="Q26" s="3">
        <f t="shared" si="5"/>
        <v>8</v>
      </c>
      <c r="R26" s="7" t="s">
        <v>222</v>
      </c>
      <c r="S26" s="18" t="str" cm="1">
        <f t="array" ref="S26">structUnpackCode(R26)</f>
        <v>&lt;ff</v>
      </c>
      <c r="T26" s="18" t="str" cm="1">
        <f t="array" ref="T26">CStruct(R26,X26:AE26,G26)</f>
        <v>struct canData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3">
      <c r="A27" s="2" t="s">
        <v>36</v>
      </c>
      <c r="B27" s="2" t="s">
        <v>303</v>
      </c>
      <c r="C27" s="2" t="s">
        <v>14</v>
      </c>
      <c r="D27" s="1">
        <v>0.2</v>
      </c>
      <c r="E27" s="1" t="s">
        <v>304</v>
      </c>
      <c r="F27" s="1">
        <f t="shared" si="3"/>
        <v>1559</v>
      </c>
      <c r="G27" s="1">
        <v>8</v>
      </c>
      <c r="H27" s="2" t="s">
        <v>166</v>
      </c>
      <c r="I27" s="2" t="s">
        <v>27</v>
      </c>
      <c r="J27" s="2" t="s">
        <v>27</v>
      </c>
      <c r="K27" s="2" t="s">
        <v>27</v>
      </c>
      <c r="L27" s="2" t="s">
        <v>305</v>
      </c>
      <c r="M27" s="2" t="s">
        <v>27</v>
      </c>
      <c r="N27" s="2" t="s">
        <v>27</v>
      </c>
      <c r="O27" s="2" t="s">
        <v>27</v>
      </c>
      <c r="P27" s="3">
        <f t="shared" si="4"/>
        <v>5</v>
      </c>
      <c r="Q27" s="3">
        <f t="shared" si="5"/>
        <v>40</v>
      </c>
      <c r="R27" s="7" t="s">
        <v>222</v>
      </c>
      <c r="S27" s="18" t="str" cm="1">
        <f t="array" ref="S27">structUnpackCode(R27)</f>
        <v>&lt;ff</v>
      </c>
      <c r="T27" s="18" t="str" cm="1">
        <f t="array" ref="T27">CStruct(R27,X27:AE27,G27)</f>
        <v>struct canData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3">
      <c r="A28" s="2" t="s">
        <v>36</v>
      </c>
      <c r="B28" s="2" t="s">
        <v>41</v>
      </c>
      <c r="C28" s="2" t="s">
        <v>283</v>
      </c>
      <c r="D28" s="1">
        <v>0.104</v>
      </c>
      <c r="E28" s="1" t="s">
        <v>286</v>
      </c>
      <c r="F28" s="1">
        <f t="shared" ref="F28:F29" si="6">HEX2DEC(RIGHT(E28,LEN(E28)-2))</f>
        <v>1712</v>
      </c>
      <c r="G28" s="1">
        <v>7</v>
      </c>
      <c r="H28" s="2" t="s">
        <v>28</v>
      </c>
      <c r="I28" s="2" t="s">
        <v>27</v>
      </c>
      <c r="J28" s="2" t="s">
        <v>30</v>
      </c>
      <c r="K28" s="2" t="s">
        <v>27</v>
      </c>
      <c r="L28" s="2" t="s">
        <v>26</v>
      </c>
      <c r="M28" s="2" t="s">
        <v>32</v>
      </c>
      <c r="N28" s="2" t="s">
        <v>27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306</v>
      </c>
      <c r="S28" s="18" t="s">
        <v>308</v>
      </c>
      <c r="T28" s="18" t="str" cm="1">
        <f t="array" ref="T28">CStruct(R28,X28:AE28,G28)</f>
        <v>struct canData {_x000D_
	uint16_t PackCurrent;_x000D_
	uint16_t PackInstVoltage;_x000D_
	uint8_t PackSoc;_x000D_
	uint16_t RelayState;_x000D_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Orion</v>
      </c>
      <c r="X28" s="19" t="str" cm="1">
        <f t="array" ref="X28">IF(OR(H28="IN USE", H28="-"), "-", CamelCase(H28))</f>
        <v>PackCurrent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PackInstVoltage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PackSoc</v>
      </c>
      <c r="AC28" s="19" t="str" cm="1">
        <f t="array" ref="AC28">IF(OR(M28="IN USE", M28="-"), "-", CamelCase(M28))</f>
        <v>RelayState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/>
      </c>
    </row>
    <row r="29" spans="1:31" x14ac:dyDescent="0.3">
      <c r="A29" s="2" t="s">
        <v>36</v>
      </c>
      <c r="B29" s="2" t="s">
        <v>34</v>
      </c>
      <c r="C29" s="2" t="s">
        <v>283</v>
      </c>
      <c r="D29" s="1">
        <v>0.104</v>
      </c>
      <c r="E29" s="1" t="s">
        <v>287</v>
      </c>
      <c r="F29" s="1">
        <f t="shared" si="6"/>
        <v>1713</v>
      </c>
      <c r="G29" s="1">
        <v>7</v>
      </c>
      <c r="H29" s="2" t="s">
        <v>29</v>
      </c>
      <c r="I29" s="2" t="s">
        <v>27</v>
      </c>
      <c r="J29" s="2" t="s">
        <v>307</v>
      </c>
      <c r="K29" s="2" t="s">
        <v>27</v>
      </c>
      <c r="L29" s="2" t="s">
        <v>284</v>
      </c>
      <c r="M29" s="2" t="s">
        <v>285</v>
      </c>
      <c r="N29" s="2" t="s">
        <v>309</v>
      </c>
      <c r="P29" s="3">
        <f t="shared" si="7"/>
        <v>9.615384615384615</v>
      </c>
      <c r="Q29" s="3">
        <f t="shared" si="8"/>
        <v>67.307692307692307</v>
      </c>
      <c r="R29" s="15" t="s">
        <v>310</v>
      </c>
      <c r="S29" s="18" t="s">
        <v>311</v>
      </c>
      <c r="T29" s="18" t="str" cm="1">
        <f t="array" ref="T29">CStruct(R29,X29:AE29,G29)</f>
        <v>struct canData {_x000D_
	int16_t PackDcl;_x000D_
	int16_t Unknown;_x000D_
	int8_t HighTemperatureSensor;_x000D_
	int8_t LowTemperatureSensors;_x000D_
	int8_t Blank;_x000D_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Orion</v>
      </c>
      <c r="X29" s="19" t="str" cm="1">
        <f t="array" ref="X29">IF(OR(H29="IN USE", H29="-"), "-", CamelCase(H29))</f>
        <v>PackDcl</v>
      </c>
      <c r="Y29" s="19" t="str" cm="1">
        <f t="array" ref="Y29">IF(OR(I29="IN USE", I29="-"), "-", CamelCase(I29))</f>
        <v>-</v>
      </c>
      <c r="Z29" s="19" t="str" cm="1">
        <f t="array" ref="Z29">IF(OR(J29="IN USE", J29="-"), "-", CamelCase(J29))</f>
        <v>Unknown</v>
      </c>
      <c r="AA29" s="19" t="str" cm="1">
        <f t="array" ref="AA29">IF(OR(K29="IN USE", K29="-"), "-", CamelCase(K29))</f>
        <v>-</v>
      </c>
      <c r="AB29" s="19" t="str" cm="1">
        <f t="array" ref="AB29">IF(OR(L29="IN USE", L29="-"), "-", CamelCase(L29))</f>
        <v>HighTemperatureSensor</v>
      </c>
      <c r="AC29" s="19" t="str" cm="1">
        <f t="array" ref="AC29">IF(OR(M29="IN USE", M29="-"), "-", CamelCase(M29))</f>
        <v>LowTemperatureSensors</v>
      </c>
      <c r="AD29" s="19" t="str" cm="1">
        <f t="array" ref="AD29">IF(OR(N29="IN USE", N29="-"), "-", CamelCase(N29))</f>
        <v>Blank</v>
      </c>
      <c r="AE29" s="19" t="str" cm="1">
        <f t="array" ref="AE29">IF(OR(O29="IN USE", O29="-"), "-", CamelCase(O29))</f>
        <v/>
      </c>
    </row>
    <row r="30" spans="1:31" x14ac:dyDescent="0.3">
      <c r="A30" s="2" t="s">
        <v>36</v>
      </c>
      <c r="B30" s="2" t="s">
        <v>41</v>
      </c>
      <c r="C30" s="2" t="s">
        <v>283</v>
      </c>
      <c r="D30" s="1">
        <v>0.104</v>
      </c>
      <c r="E30" s="1" t="s">
        <v>24</v>
      </c>
      <c r="F30" s="1">
        <f t="shared" si="3"/>
        <v>1792</v>
      </c>
      <c r="G30" s="1">
        <v>7</v>
      </c>
      <c r="H30" s="2" t="s">
        <v>28</v>
      </c>
      <c r="I30" s="2" t="s">
        <v>27</v>
      </c>
      <c r="J30" s="2" t="s">
        <v>30</v>
      </c>
      <c r="K30" s="2" t="s">
        <v>27</v>
      </c>
      <c r="L30" s="2" t="s">
        <v>26</v>
      </c>
      <c r="M30" s="2" t="s">
        <v>32</v>
      </c>
      <c r="N30" s="2" t="s">
        <v>27</v>
      </c>
      <c r="P30" s="3">
        <f t="shared" si="4"/>
        <v>9.615384615384615</v>
      </c>
      <c r="Q30" s="3">
        <f t="shared" si="5"/>
        <v>67.307692307692307</v>
      </c>
      <c r="R30" s="8" t="s">
        <v>306</v>
      </c>
      <c r="S30" s="18" t="s">
        <v>308</v>
      </c>
      <c r="T30" s="18" t="str" cm="1">
        <f t="array" ref="T30">CStruct(R30,X30:AE30,G30)</f>
        <v>struct canData {_x000D_
	uint16_t PackCurrent;_x000D_
	uint16_t PackInstVoltage;_x000D_
	uint8_t PackSoc;_x000D_
	uint16_t RelayState;_x000D_
}</v>
      </c>
      <c r="U30" s="18"/>
      <c r="V30" s="19" t="str" cm="1">
        <f t="array" ref="V30">CamelCase(B30)</f>
        <v>CellVoltages</v>
      </c>
      <c r="W30" s="19" t="str" cm="1">
        <f t="array" ref="W30">CamelCase(C30)</f>
        <v>Orion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PackSoc</v>
      </c>
      <c r="AC30" s="19" t="str" cm="1">
        <f t="array" ref="AC30">IF(OR(M30="IN USE", M30="-"), "-", CamelCase(M30))</f>
        <v>RelayState</v>
      </c>
      <c r="AD30" s="19" t="str" cm="1">
        <f t="array" ref="AD30">IF(OR(N30="IN USE", N30="-"), "-", CamelCase(N30))</f>
        <v>-</v>
      </c>
      <c r="AE30" s="19" t="str" cm="1">
        <f t="array" ref="AE30">IF(OR(O30="IN USE", O30="-"), "-", CamelCase(O30))</f>
        <v/>
      </c>
    </row>
    <row r="31" spans="1:31" x14ac:dyDescent="0.3">
      <c r="A31" s="2" t="s">
        <v>36</v>
      </c>
      <c r="B31" s="2" t="s">
        <v>34</v>
      </c>
      <c r="C31" s="2" t="s">
        <v>283</v>
      </c>
      <c r="D31" s="1">
        <v>0.104</v>
      </c>
      <c r="E31" s="1" t="s">
        <v>25</v>
      </c>
      <c r="F31" s="1">
        <f t="shared" ref="F31" si="9">HEX2DEC(RIGHT(E31,LEN(E31)-2))</f>
        <v>1793</v>
      </c>
      <c r="G31" s="1">
        <v>7</v>
      </c>
      <c r="H31" s="2" t="s">
        <v>29</v>
      </c>
      <c r="I31" s="2" t="s">
        <v>27</v>
      </c>
      <c r="J31" s="2" t="s">
        <v>307</v>
      </c>
      <c r="K31" s="2" t="s">
        <v>27</v>
      </c>
      <c r="L31" s="2" t="s">
        <v>284</v>
      </c>
      <c r="M31" s="2" t="s">
        <v>285</v>
      </c>
      <c r="N31" s="2" t="s">
        <v>309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310</v>
      </c>
      <c r="S31" s="18" t="s">
        <v>311</v>
      </c>
      <c r="T31" s="18" t="str" cm="1">
        <f t="array" ref="T31">CStruct(R31,X31:AE31,G31)</f>
        <v>struct canData {_x000D_
	int16_t PackDcl;_x000D_
	int16_t Unknown;_x000D_
	int8_t HighTemperatureSensor;_x000D_
	int8_t LowTemperatureSensors;_x000D_
	int8_t Blank;_x000D_
}</v>
      </c>
      <c r="U31" s="18"/>
      <c r="V31" s="19" t="str" cm="1">
        <f t="array" ref="V31">CamelCase(B31)</f>
        <v>CellTempsDischargeChageCurrentLimit</v>
      </c>
      <c r="W31" s="19" t="str" cm="1">
        <f t="array" ref="W31">CamelCase(C31)</f>
        <v>Orion</v>
      </c>
      <c r="X31" s="19" t="str" cm="1">
        <f t="array" ref="X31">IF(OR(H31="IN USE", H31="-"), "-", CamelCase(H31))</f>
        <v>PackDcl</v>
      </c>
      <c r="Y31" s="19" t="str" cm="1">
        <f t="array" ref="Y31">IF(OR(I31="IN USE", I31="-"), "-", CamelCase(I31))</f>
        <v>-</v>
      </c>
      <c r="Z31" s="19" t="str" cm="1">
        <f t="array" ref="Z31">IF(OR(J31="IN USE", J31="-"), "-", CamelCase(J31))</f>
        <v>Unknown</v>
      </c>
      <c r="AA31" s="19" t="str" cm="1">
        <f t="array" ref="AA31">IF(OR(K31="IN USE", K31="-"), "-", CamelCase(K31))</f>
        <v>-</v>
      </c>
      <c r="AB31" s="19" t="str" cm="1">
        <f t="array" ref="AB31">IF(OR(L31="IN USE", L31="-"), "-", CamelCase(L31))</f>
        <v>HighTemperatureSensor</v>
      </c>
      <c r="AC31" s="19" t="str" cm="1">
        <f t="array" ref="AC31">IF(OR(M31="IN USE", M31="-"), "-", CamelCase(M31))</f>
        <v>LowTemperatureSensors</v>
      </c>
      <c r="AD31" s="19" t="str" cm="1">
        <f t="array" ref="AD31">IF(OR(N31="IN USE", N31="-"), "-", CamelCase(N31))</f>
        <v>Blank</v>
      </c>
      <c r="AE31" s="19" t="str" cm="1">
        <f t="array" ref="AE31">IF(OR(O31="IN USE", O31="-"), "-", CamelCase(O31))</f>
        <v/>
      </c>
    </row>
    <row r="32" spans="1:31" x14ac:dyDescent="0.3">
      <c r="A32" s="2" t="s">
        <v>36</v>
      </c>
      <c r="B32" s="2" t="s">
        <v>34</v>
      </c>
      <c r="C32" s="2" t="s">
        <v>283</v>
      </c>
      <c r="D32" s="1">
        <v>0.104</v>
      </c>
      <c r="E32" s="1" t="s">
        <v>312</v>
      </c>
      <c r="F32" s="1">
        <f t="shared" si="3"/>
        <v>1794</v>
      </c>
      <c r="G32" s="1">
        <v>7</v>
      </c>
      <c r="H32" s="2" t="s">
        <v>313</v>
      </c>
      <c r="I32" s="2" t="s">
        <v>314</v>
      </c>
      <c r="J32" s="2" t="s">
        <v>315</v>
      </c>
      <c r="K32" s="2" t="s">
        <v>316</v>
      </c>
      <c r="L32" s="2" t="s">
        <v>317</v>
      </c>
      <c r="M32" s="2" t="s">
        <v>309</v>
      </c>
      <c r="N32" s="2" t="s">
        <v>309</v>
      </c>
      <c r="P32" s="3">
        <f t="shared" si="4"/>
        <v>9.615384615384615</v>
      </c>
      <c r="Q32" s="3">
        <f t="shared" si="5"/>
        <v>67.307692307692307</v>
      </c>
      <c r="R32" s="15" t="s">
        <v>318</v>
      </c>
      <c r="S32" s="18" t="s">
        <v>319</v>
      </c>
      <c r="T32" s="18" t="str" cm="1">
        <f t="array" ref="T32">CStruct(R32,X32:AE32,G32)</f>
        <v>struct canData {_x000D_
	int8_t MinCellVoltage;_x000D_
	int8_t MaxCellVoltage;_x000D_
	int8_t PackKwPower;_x000D_
	int8_t ReqFanSpeed;_x000D_
	int8_t IntakeTemperature;_x000D_
	int8_t Blank;_x000D_
	int8_t Blank;_x000D_
}</v>
      </c>
      <c r="U32" s="18"/>
      <c r="V32" s="19" t="str" cm="1">
        <f t="array" ref="V32">CamelCase(B32)</f>
        <v>CellTempsDischargeChageCurrentLimit</v>
      </c>
      <c r="W32" s="19" t="str" cm="1">
        <f t="array" ref="W32">CamelCase(C32)</f>
        <v>Orion</v>
      </c>
      <c r="X32" s="19" t="str" cm="1">
        <f t="array" ref="X32">IF(OR(H32="IN USE", H32="-"), "-", CamelCase(H32))</f>
        <v>MinCellVoltage</v>
      </c>
      <c r="Y32" s="19" t="str" cm="1">
        <f t="array" ref="Y32">IF(OR(I32="IN USE", I32="-"), "-", CamelCase(I32))</f>
        <v>MaxCellVoltage</v>
      </c>
      <c r="Z32" s="19" t="str" cm="1">
        <f t="array" ref="Z32">IF(OR(J32="IN USE", J32="-"), "-", CamelCase(J32))</f>
        <v>PackKwPower</v>
      </c>
      <c r="AA32" s="19" t="str" cm="1">
        <f t="array" ref="AA32">IF(OR(K32="IN USE", K32="-"), "-", CamelCase(K32))</f>
        <v>ReqFanSpeed</v>
      </c>
      <c r="AB32" s="19" t="str" cm="1">
        <f t="array" ref="AB32">IF(OR(L32="IN USE", L32="-"), "-", CamelCase(L32))</f>
        <v>IntakeTemperature</v>
      </c>
      <c r="AC32" s="19" t="str" cm="1">
        <f t="array" ref="AC32">IF(OR(M32="IN USE", M32="-"), "-", CamelCase(M32))</f>
        <v>Blank</v>
      </c>
      <c r="AD32" s="19" t="str" cm="1">
        <f t="array" ref="AD32">IF(OR(N32="IN USE", N32="-"), "-", CamelCase(N32))</f>
        <v>Blank</v>
      </c>
      <c r="AE32" s="19" t="str" cm="1">
        <f t="array" ref="AE32">IF(OR(O32="IN USE", O32="-"), "-", CamelCase(O32))</f>
        <v/>
      </c>
    </row>
    <row r="33" spans="1:36" x14ac:dyDescent="0.3">
      <c r="A33" s="2" t="s">
        <v>36</v>
      </c>
      <c r="B33" s="2" t="s">
        <v>172</v>
      </c>
      <c r="C33" s="2" t="s">
        <v>37</v>
      </c>
      <c r="D33" s="1">
        <v>0.5</v>
      </c>
      <c r="E33" s="1" t="s">
        <v>163</v>
      </c>
      <c r="F33" s="1">
        <f>HEX2DEC(RIGHT(E33,LEN(E33)-2))</f>
        <v>1809</v>
      </c>
      <c r="G33" s="1">
        <v>1</v>
      </c>
      <c r="H33" s="2" t="s">
        <v>309</v>
      </c>
      <c r="I33" s="2" t="s">
        <v>31</v>
      </c>
      <c r="J33" s="2" t="s">
        <v>31</v>
      </c>
      <c r="K33" s="2" t="s">
        <v>31</v>
      </c>
      <c r="L33" s="2" t="s">
        <v>31</v>
      </c>
      <c r="M33" s="2" t="s">
        <v>31</v>
      </c>
      <c r="N33" s="2" t="s">
        <v>31</v>
      </c>
      <c r="O33" s="2" t="s">
        <v>31</v>
      </c>
      <c r="P33" s="2">
        <f t="shared" si="4"/>
        <v>2</v>
      </c>
      <c r="Q33" s="2">
        <f t="shared" si="5"/>
        <v>2</v>
      </c>
      <c r="R33" s="2" t="s">
        <v>245</v>
      </c>
      <c r="S33" s="18" t="str" cm="1">
        <f t="array" ref="S33">structUnpackCode(R33)</f>
        <v>&lt;b</v>
      </c>
      <c r="T33" s="18" t="str" cm="1">
        <f t="array" ref="T33">CStruct(R33,X33:AE33,G33)</f>
        <v>struct canData {_x000D_
	int8_t Blank;_x000D_
}</v>
      </c>
      <c r="U33" s="18"/>
      <c r="V33" s="19" t="str" cm="1">
        <f t="array" ref="V33">CamelCase(B33)</f>
        <v>MpptPollJaved</v>
      </c>
      <c r="W33" s="19" t="str" cm="1">
        <f t="array" ref="W33">CamelCase(C33)</f>
        <v>Telemetry</v>
      </c>
      <c r="X33" s="19" t="str" cm="1">
        <f t="array" ref="X33">IF(OR(H33="IN USE", H33="-"), "-", CamelCase(H33))</f>
        <v>Blank</v>
      </c>
      <c r="Y33" s="19" t="str" cm="1">
        <f t="array" ref="Y33">IF(OR(I33="IN USE", I33="-"), "-", CamelCase(I33))</f>
        <v>-</v>
      </c>
      <c r="Z33" s="19" t="str" cm="1">
        <f t="array" ref="Z33">IF(OR(J33="IN USE", J33="-"), "-", CamelCase(J33))</f>
        <v>-</v>
      </c>
      <c r="AA33" s="19" t="str" cm="1">
        <f t="array" ref="AA33">IF(OR(K33="IN USE", K33="-"), "-", CamelCase(K33))</f>
        <v>-</v>
      </c>
      <c r="AB33" s="19" t="str" cm="1">
        <f t="array" ref="AB33">IF(OR(L33="IN USE", L33="-"), "-", CamelCase(L33))</f>
        <v>-</v>
      </c>
      <c r="AC33" s="19" t="str" cm="1">
        <f t="array" ref="AC33">IF(OR(M33="IN USE", M33="-"), "-", CamelCase(M33))</f>
        <v>-</v>
      </c>
      <c r="AD33" s="19" t="str" cm="1">
        <f t="array" ref="AD33">IF(OR(N33="IN USE", N33="-"), "-", CamelCase(N33))</f>
        <v>-</v>
      </c>
      <c r="AE33" s="19" t="str" cm="1">
        <f t="array" ref="AE33">IF(OR(O33="IN USE", O33="-"), "-", CamelCase(O33))</f>
        <v>-</v>
      </c>
    </row>
    <row r="34" spans="1:36" x14ac:dyDescent="0.3">
      <c r="A34" s="2" t="s">
        <v>36</v>
      </c>
      <c r="B34" s="2" t="s">
        <v>173</v>
      </c>
      <c r="C34" s="2" t="s">
        <v>37</v>
      </c>
      <c r="D34" s="1">
        <v>0.5</v>
      </c>
      <c r="E34" s="1" t="s">
        <v>164</v>
      </c>
      <c r="F34" s="1">
        <f>HEX2DEC(RIGHT(E34,LEN(E34)-2))</f>
        <v>1810</v>
      </c>
      <c r="G34" s="1">
        <v>1</v>
      </c>
      <c r="H34" s="2" t="s">
        <v>309</v>
      </c>
      <c r="I34" s="2" t="s">
        <v>31</v>
      </c>
      <c r="J34" s="2" t="s">
        <v>31</v>
      </c>
      <c r="K34" s="2" t="s">
        <v>31</v>
      </c>
      <c r="L34" s="2" t="s">
        <v>31</v>
      </c>
      <c r="M34" s="2" t="s">
        <v>31</v>
      </c>
      <c r="N34" s="2" t="s">
        <v>31</v>
      </c>
      <c r="O34" s="2" t="s">
        <v>31</v>
      </c>
      <c r="P34" s="2">
        <f t="shared" si="4"/>
        <v>2</v>
      </c>
      <c r="Q34" s="2">
        <f t="shared" si="5"/>
        <v>2</v>
      </c>
      <c r="R34" s="2" t="s">
        <v>245</v>
      </c>
      <c r="S34" s="18" t="str" cm="1">
        <f t="array" ref="S34">structUnpackCode(R34)</f>
        <v>&lt;b</v>
      </c>
      <c r="T34" s="18" t="str" cm="1">
        <f t="array" ref="T34">CStruct(R34,X34:AE34,G34)</f>
        <v>struct canData {_x000D_
	int8_t Blank;_x000D_
}</v>
      </c>
      <c r="U34" s="18"/>
      <c r="V34" s="19" t="str" cm="1">
        <f t="array" ref="V34">CamelCase(B34)</f>
        <v>MpptPollWoof</v>
      </c>
      <c r="W34" s="19" t="str" cm="1">
        <f t="array" ref="W34">CamelCase(C34)</f>
        <v>Telemetry</v>
      </c>
      <c r="X34" s="19" t="str" cm="1">
        <f t="array" ref="X34">IF(OR(H34="IN USE", H34="-"), "-", CamelCase(H34))</f>
        <v>Blank</v>
      </c>
      <c r="Y34" s="19" t="str" cm="1">
        <f t="array" ref="Y34">IF(OR(I34="IN USE", I34="-"), "-", CamelCase(I34))</f>
        <v>-</v>
      </c>
      <c r="Z34" s="19" t="str" cm="1">
        <f t="array" ref="Z34">IF(OR(J34="IN USE", J34="-"), "-", CamelCase(J34))</f>
        <v>-</v>
      </c>
      <c r="AA34" s="19" t="str" cm="1">
        <f t="array" ref="AA34">IF(OR(K34="IN USE", K34="-"), "-", CamelCase(K34))</f>
        <v>-</v>
      </c>
      <c r="AB34" s="19" t="str" cm="1">
        <f t="array" ref="AB34">IF(OR(L34="IN USE", L34="-"), "-", CamelCase(L34))</f>
        <v>-</v>
      </c>
      <c r="AC34" s="19" t="str" cm="1">
        <f t="array" ref="AC34">IF(OR(M34="IN USE", M34="-"), "-", CamelCase(M34))</f>
        <v>-</v>
      </c>
      <c r="AD34" s="19" t="str" cm="1">
        <f t="array" ref="AD34">IF(OR(N34="IN USE", N34="-"), "-", CamelCase(N34))</f>
        <v>-</v>
      </c>
      <c r="AE34" s="19" t="str" cm="1">
        <f t="array" ref="AE34">IF(OR(O34="IN USE", O34="-"), "-", CamelCase(O34))</f>
        <v>-</v>
      </c>
    </row>
    <row r="35" spans="1:36" x14ac:dyDescent="0.3">
      <c r="A35" s="2" t="s">
        <v>36</v>
      </c>
      <c r="B35" s="2" t="s">
        <v>329</v>
      </c>
      <c r="C35" s="2" t="s">
        <v>331</v>
      </c>
      <c r="D35" s="1">
        <v>0.5</v>
      </c>
      <c r="E35" s="1" t="s">
        <v>174</v>
      </c>
      <c r="F35" s="1">
        <f>HEX2DEC(RIGHT(E35,LEN(E35)-2))</f>
        <v>1905</v>
      </c>
      <c r="G35" s="1">
        <v>7</v>
      </c>
      <c r="H35" s="2" t="s">
        <v>321</v>
      </c>
      <c r="I35" s="2" t="s">
        <v>322</v>
      </c>
      <c r="J35" s="2" t="s">
        <v>320</v>
      </c>
      <c r="K35" s="2" t="s">
        <v>323</v>
      </c>
      <c r="L35" s="2" t="s">
        <v>324</v>
      </c>
      <c r="M35" s="2" t="s">
        <v>325</v>
      </c>
      <c r="N35" s="2" t="s">
        <v>326</v>
      </c>
      <c r="P35" s="3">
        <f>IF(ISBLANK(D33),"",1/D33)</f>
        <v>2</v>
      </c>
      <c r="Q35" s="2">
        <f t="shared" si="5"/>
        <v>14</v>
      </c>
      <c r="R35" s="3" t="s">
        <v>327</v>
      </c>
      <c r="S35" s="18" t="str" cm="1">
        <f t="array" ref="S35">structUnpackCode(R35)</f>
        <v>&lt;BBBBBBB</v>
      </c>
      <c r="T35" s="18" t="str" cm="1">
        <f t="array" ref="T35">CStruct(R35,X35:AE35,G35)</f>
        <v>struct canData {_x000D_
	uint8_t FlagsAndMsbVoltageIn;_x000D_
	uint8_t LsbVoltageIn;_x000D_
	uint8_t MsbCurrentIn;_x000D_
	uint8_t LsbCurrentIn;_x000D_
	uint8_t MsbVoltageOut;_x000D_
	uint8_t LsbVoltageOut;_x000D_
	uint8_t AmbientTemperature;_x000D_
}</v>
      </c>
      <c r="U35" s="18"/>
      <c r="V35" s="19" t="str" cm="1">
        <f t="array" ref="V35">CamelCase(B35)</f>
        <v>Javed</v>
      </c>
      <c r="W35" s="19" t="str" cm="1">
        <f t="array" ref="W35">CamelCase(C35)</f>
        <v>Mppt</v>
      </c>
      <c r="X35" s="19" t="str" cm="1">
        <f t="array" ref="X35">IF(OR(H35="IN USE", H35="-"), "-", CamelCase(H35))</f>
        <v>FlagsAndMsbVoltageIn</v>
      </c>
      <c r="Y35" s="19" t="str" cm="1">
        <f t="array" ref="Y35">IF(OR(I35="IN USE", I35="-"), "-", CamelCase(I35))</f>
        <v>LsbVoltageIn</v>
      </c>
      <c r="Z35" s="19" t="str" cm="1">
        <f t="array" ref="Z35">IF(OR(J35="IN USE", J35="-"), "-", CamelCase(J35))</f>
        <v>MsbCurrentIn</v>
      </c>
      <c r="AA35" s="19" t="str" cm="1">
        <f t="array" ref="AA35">IF(OR(K35="IN USE", K35="-"), "-", CamelCase(K35))</f>
        <v>LsbCurrentIn</v>
      </c>
      <c r="AB35" s="19" t="str" cm="1">
        <f t="array" ref="AB35">IF(OR(L35="IN USE", L35="-"), "-", CamelCase(L35))</f>
        <v>MsbVoltageOut</v>
      </c>
      <c r="AC35" s="19" t="str" cm="1">
        <f t="array" ref="AC35">IF(OR(M35="IN USE", M35="-"), "-", CamelCase(M35))</f>
        <v>LsbVoltageOut</v>
      </c>
      <c r="AD35" s="19" t="str" cm="1">
        <f t="array" ref="AD35">IF(OR(N35="IN USE", N35="-"), "-", CamelCase(N35))</f>
        <v>AmbientTemperature</v>
      </c>
      <c r="AE35" s="19" t="str" cm="1">
        <f t="array" ref="AE35">IF(OR(O35="IN USE", O35="-"), "-", CamelCase(O35))</f>
        <v/>
      </c>
    </row>
    <row r="36" spans="1:36" x14ac:dyDescent="0.3">
      <c r="A36" s="2" t="s">
        <v>36</v>
      </c>
      <c r="B36" s="2" t="s">
        <v>330</v>
      </c>
      <c r="C36" s="2" t="s">
        <v>331</v>
      </c>
      <c r="D36" s="1">
        <v>0.5</v>
      </c>
      <c r="E36" s="1" t="s">
        <v>175</v>
      </c>
      <c r="F36" s="1">
        <f>HEX2DEC(RIGHT(E36,LEN(E36)-2))</f>
        <v>1906</v>
      </c>
      <c r="G36" s="1">
        <v>7</v>
      </c>
      <c r="H36" s="2" t="s">
        <v>321</v>
      </c>
      <c r="I36" s="2" t="s">
        <v>322</v>
      </c>
      <c r="J36" s="2" t="s">
        <v>320</v>
      </c>
      <c r="K36" s="2" t="s">
        <v>323</v>
      </c>
      <c r="L36" s="2" t="s">
        <v>324</v>
      </c>
      <c r="M36" s="2" t="s">
        <v>325</v>
      </c>
      <c r="N36" s="2" t="s">
        <v>326</v>
      </c>
      <c r="P36" s="3">
        <f>IF(ISBLANK(D34),"",1/D34)</f>
        <v>2</v>
      </c>
      <c r="Q36" s="3">
        <f t="shared" si="5"/>
        <v>14</v>
      </c>
      <c r="R36" s="3" t="s">
        <v>327</v>
      </c>
      <c r="S36" s="18" t="str" cm="1">
        <f t="array" ref="S36">structUnpackCode(R36)</f>
        <v>&lt;BBBBBBB</v>
      </c>
      <c r="T36" s="18" t="str" cm="1">
        <f t="array" ref="T36">CStruct(R36,X36:AE36,G36)</f>
        <v>struct canData {_x000D_
	uint8_t FlagsAndMsbVoltageIn;_x000D_
	uint8_t LsbVoltageIn;_x000D_
	uint8_t MsbCurrentIn;_x000D_
	uint8_t LsbCurrentIn;_x000D_
	uint8_t MsbVoltageOut;_x000D_
	uint8_t LsbVoltageOut;_x000D_
	uint8_t AmbientTemperature;_x000D_
}</v>
      </c>
      <c r="U36" s="18"/>
      <c r="V36" s="19" t="str" cm="1">
        <f t="array" ref="V36">CamelCase(B36)</f>
        <v>Woof</v>
      </c>
      <c r="W36" s="19" t="str" cm="1">
        <f t="array" ref="W36">CamelCase(C36)</f>
        <v>Mppt</v>
      </c>
      <c r="X36" s="19" t="str" cm="1">
        <f t="array" ref="X36">IF(OR(H36="IN USE", H36="-"), "-", CamelCase(H36))</f>
        <v>FlagsAndMsbVoltageIn</v>
      </c>
      <c r="Y36" s="19" t="str" cm="1">
        <f t="array" ref="Y36">IF(OR(I36="IN USE", I36="-"), "-", CamelCase(I36))</f>
        <v>LsbVoltageIn</v>
      </c>
      <c r="Z36" s="19" t="str" cm="1">
        <f t="array" ref="Z36">IF(OR(J36="IN USE", J36="-"), "-", CamelCase(J36))</f>
        <v>MsbCurrentIn</v>
      </c>
      <c r="AA36" s="19" t="str" cm="1">
        <f t="array" ref="AA36">IF(OR(K36="IN USE", K36="-"), "-", CamelCase(K36))</f>
        <v>LsbCurrentIn</v>
      </c>
      <c r="AB36" s="19" t="str" cm="1">
        <f t="array" ref="AB36">IF(OR(L36="IN USE", L36="-"), "-", CamelCase(L36))</f>
        <v>MsbVoltageOut</v>
      </c>
      <c r="AC36" s="19" t="str" cm="1">
        <f t="array" ref="AC36">IF(OR(M36="IN USE", M36="-"), "-", CamelCase(M36))</f>
        <v>LsbVoltageOut</v>
      </c>
      <c r="AD36" s="19" t="str" cm="1">
        <f t="array" ref="AD36">IF(OR(N36="IN USE", N36="-"), "-", CamelCase(N36))</f>
        <v>AmbientTemperature</v>
      </c>
      <c r="AE36" s="19" t="str" cm="1">
        <f t="array" ref="AE36">IF(OR(O36="IN USE", O36="-"), "-", CamelCase(O36))</f>
        <v/>
      </c>
    </row>
    <row r="37" spans="1:36" x14ac:dyDescent="0.3">
      <c r="A37" s="2" t="s">
        <v>221</v>
      </c>
      <c r="B37" s="2" t="s">
        <v>227</v>
      </c>
      <c r="P37" s="3"/>
      <c r="Q37" s="3"/>
      <c r="R37" s="8" t="s">
        <v>226</v>
      </c>
    </row>
    <row r="38" spans="1:36" x14ac:dyDescent="0.3">
      <c r="T38" s="2" t="s">
        <v>255</v>
      </c>
      <c r="AH38" s="3">
        <f>IF(ISBLANK(D36),"",1/D36)</f>
        <v>2</v>
      </c>
      <c r="AI38" s="3">
        <f>IF(ISBLANK(D36),"",G36/D36)</f>
        <v>14</v>
      </c>
      <c r="AJ38" s="8"/>
    </row>
    <row r="39" spans="1:36" x14ac:dyDescent="0.3">
      <c r="P39" s="3"/>
      <c r="Q39" s="3"/>
    </row>
    <row r="40" spans="1:36" x14ac:dyDescent="0.3">
      <c r="P40" s="3" t="str">
        <f>IF(ISBLANK(D40),"",1/D40)</f>
        <v/>
      </c>
      <c r="Q40" s="3" t="str">
        <f>IF(ISBLANK(D40),"",G40/D40)</f>
        <v/>
      </c>
    </row>
    <row r="42" spans="1:36" x14ac:dyDescent="0.3">
      <c r="B42" s="2" t="s">
        <v>194</v>
      </c>
      <c r="D42" s="1" t="s">
        <v>328</v>
      </c>
      <c r="H42" s="2" t="s">
        <v>183</v>
      </c>
      <c r="I42" s="2" t="s">
        <v>223</v>
      </c>
    </row>
    <row r="43" spans="1:36" x14ac:dyDescent="0.3">
      <c r="B43" s="2" t="s">
        <v>188</v>
      </c>
      <c r="C43" s="2" t="s">
        <v>37</v>
      </c>
      <c r="E43" s="1" t="s">
        <v>193</v>
      </c>
      <c r="H43" s="12" t="s">
        <v>187</v>
      </c>
    </row>
    <row r="44" spans="1:36" x14ac:dyDescent="0.3">
      <c r="B44" s="2" t="s">
        <v>189</v>
      </c>
      <c r="C44" s="2" t="s">
        <v>37</v>
      </c>
      <c r="E44" s="1" t="s">
        <v>154</v>
      </c>
      <c r="H44" s="12" t="s">
        <v>184</v>
      </c>
    </row>
    <row r="45" spans="1:36" x14ac:dyDescent="0.3">
      <c r="B45" s="2" t="s">
        <v>188</v>
      </c>
      <c r="C45" s="2" t="s">
        <v>190</v>
      </c>
      <c r="E45" s="1" t="s">
        <v>192</v>
      </c>
    </row>
    <row r="46" spans="1:36" x14ac:dyDescent="0.3">
      <c r="B46" s="2" t="s">
        <v>191</v>
      </c>
      <c r="C46" s="2" t="s">
        <v>190</v>
      </c>
      <c r="E46" s="1" t="s">
        <v>43</v>
      </c>
    </row>
    <row r="47" spans="1:36" x14ac:dyDescent="0.3">
      <c r="B47" s="2" t="s">
        <v>195</v>
      </c>
      <c r="C47" s="2" t="s">
        <v>14</v>
      </c>
      <c r="E47" s="1" t="s">
        <v>47</v>
      </c>
    </row>
    <row r="48" spans="1:36" x14ac:dyDescent="0.3">
      <c r="B48" s="2" t="s">
        <v>189</v>
      </c>
      <c r="C48" s="2" t="s">
        <v>14</v>
      </c>
      <c r="E48" s="1" t="s">
        <v>48</v>
      </c>
    </row>
  </sheetData>
  <autoFilter ref="A1:U38" xr:uid="{D7006E8D-471C-FD46-A1D1-22F26DACF42F}"/>
  <phoneticPr fontId="2" type="noConversion"/>
  <conditionalFormatting sqref="H39:H40 L39:L40 L8:O9 H9:K9 L11 I10:L10 H41:O1048576 H1:O2 H7:O7 Z38:AG38 O28:O32 H37:O37 I33:O34">
    <cfRule type="containsText" dxfId="68" priority="92" operator="containsText" text="IN USE">
      <formula>NOT(ISERROR(SEARCH("IN USE",H1)))</formula>
    </cfRule>
  </conditionalFormatting>
  <conditionalFormatting sqref="A2:A11 A49:A1048576 B42:B48 A39:A41 A33:A36">
    <cfRule type="containsText" dxfId="67" priority="88" operator="containsText" text="N">
      <formula>NOT(ISERROR(SEARCH("N",A2)))</formula>
    </cfRule>
    <cfRule type="containsText" dxfId="66" priority="90" operator="containsText" text="Y">
      <formula>NOT(ISERROR(SEARCH("Y",A2)))</formula>
    </cfRule>
    <cfRule type="containsText" dxfId="65" priority="91" operator="containsText" text="P">
      <formula>NOT(ISERROR(SEARCH("P",A2)))</formula>
    </cfRule>
  </conditionalFormatting>
  <conditionalFormatting sqref="I40:K40">
    <cfRule type="containsText" dxfId="64" priority="82" operator="containsText" text="IN USE">
      <formula>NOT(ISERROR(SEARCH("IN USE",I40)))</formula>
    </cfRule>
  </conditionalFormatting>
  <conditionalFormatting sqref="I39:K39">
    <cfRule type="containsText" dxfId="63" priority="81" operator="containsText" text="IN USE">
      <formula>NOT(ISERROR(SEARCH("IN USE",I39)))</formula>
    </cfRule>
  </conditionalFormatting>
  <conditionalFormatting sqref="M39:O39">
    <cfRule type="containsText" dxfId="62" priority="80" operator="containsText" text="IN USE">
      <formula>NOT(ISERROR(SEARCH("IN USE",M39)))</formula>
    </cfRule>
  </conditionalFormatting>
  <conditionalFormatting sqref="M40:O40">
    <cfRule type="containsText" dxfId="61" priority="79" operator="containsText" text="IN USE">
      <formula>NOT(ISERROR(SEARCH("IN USE",M40)))</formula>
    </cfRule>
  </conditionalFormatting>
  <conditionalFormatting sqref="A31:A32">
    <cfRule type="containsText" dxfId="60" priority="64" operator="containsText" text="N">
      <formula>NOT(ISERROR(SEARCH("N",A31)))</formula>
    </cfRule>
    <cfRule type="containsText" dxfId="59" priority="65" operator="containsText" text="Y">
      <formula>NOT(ISERROR(SEARCH("Y",A31)))</formula>
    </cfRule>
    <cfRule type="containsText" dxfId="58" priority="66" operator="containsText" text="P">
      <formula>NOT(ISERROR(SEARCH("P",A31)))</formula>
    </cfRule>
  </conditionalFormatting>
  <conditionalFormatting sqref="A30">
    <cfRule type="containsText" dxfId="57" priority="61" operator="containsText" text="N">
      <formula>NOT(ISERROR(SEARCH("N",A30)))</formula>
    </cfRule>
    <cfRule type="containsText" dxfId="56" priority="62" operator="containsText" text="Y">
      <formula>NOT(ISERROR(SEARCH("Y",A30)))</formula>
    </cfRule>
    <cfRule type="containsText" dxfId="55" priority="63" operator="containsText" text="P">
      <formula>NOT(ISERROR(SEARCH("P",A30)))</formula>
    </cfRule>
  </conditionalFormatting>
  <conditionalFormatting sqref="I30">
    <cfRule type="containsText" dxfId="54" priority="52" operator="containsText" text="IN USE">
      <formula>NOT(ISERROR(SEARCH("IN USE",I30)))</formula>
    </cfRule>
  </conditionalFormatting>
  <conditionalFormatting sqref="K28:K32">
    <cfRule type="containsText" dxfId="53" priority="51" operator="containsText" text="IN USE">
      <formula>NOT(ISERROR(SEARCH("IN USE",K28)))</formula>
    </cfRule>
  </conditionalFormatting>
  <conditionalFormatting sqref="M30">
    <cfRule type="containsText" dxfId="52" priority="50" operator="containsText" text="IN USE">
      <formula>NOT(ISERROR(SEARCH("IN USE",M30)))</formula>
    </cfRule>
  </conditionalFormatting>
  <conditionalFormatting sqref="M10:O10">
    <cfRule type="containsText" dxfId="51" priority="49" operator="containsText" text="IN USE">
      <formula>NOT(ISERROR(SEARCH("IN USE",M10)))</formula>
    </cfRule>
  </conditionalFormatting>
  <conditionalFormatting sqref="M11:O11">
    <cfRule type="containsText" dxfId="50" priority="48" operator="containsText" text="IN USE">
      <formula>NOT(ISERROR(SEARCH("IN USE",M11)))</formula>
    </cfRule>
  </conditionalFormatting>
  <conditionalFormatting sqref="I3:I6">
    <cfRule type="containsText" dxfId="49" priority="47" operator="containsText" text="IN USE">
      <formula>NOT(ISERROR(SEARCH("IN USE",I3)))</formula>
    </cfRule>
  </conditionalFormatting>
  <conditionalFormatting sqref="J3">
    <cfRule type="containsText" dxfId="48" priority="46" operator="containsText" text="IN USE">
      <formula>NOT(ISERROR(SEARCH("IN USE",J3)))</formula>
    </cfRule>
  </conditionalFormatting>
  <conditionalFormatting sqref="K3">
    <cfRule type="containsText" dxfId="47" priority="45" operator="containsText" text="IN USE">
      <formula>NOT(ISERROR(SEARCH("IN USE",K3)))</formula>
    </cfRule>
  </conditionalFormatting>
  <conditionalFormatting sqref="M3">
    <cfRule type="containsText" dxfId="46" priority="44" operator="containsText" text="IN USE">
      <formula>NOT(ISERROR(SEARCH("IN USE",M3)))</formula>
    </cfRule>
  </conditionalFormatting>
  <conditionalFormatting sqref="N3">
    <cfRule type="containsText" dxfId="45" priority="43" operator="containsText" text="IN USE">
      <formula>NOT(ISERROR(SEARCH("IN USE",N3)))</formula>
    </cfRule>
  </conditionalFormatting>
  <conditionalFormatting sqref="O3">
    <cfRule type="containsText" dxfId="44" priority="42" operator="containsText" text="IN USE">
      <formula>NOT(ISERROR(SEARCH("IN USE",O3)))</formula>
    </cfRule>
  </conditionalFormatting>
  <conditionalFormatting sqref="J4">
    <cfRule type="containsText" dxfId="43" priority="41" operator="containsText" text="IN USE">
      <formula>NOT(ISERROR(SEARCH("IN USE",J4)))</formula>
    </cfRule>
  </conditionalFormatting>
  <conditionalFormatting sqref="K4">
    <cfRule type="containsText" dxfId="42" priority="40" operator="containsText" text="IN USE">
      <formula>NOT(ISERROR(SEARCH("IN USE",K4)))</formula>
    </cfRule>
  </conditionalFormatting>
  <conditionalFormatting sqref="J5">
    <cfRule type="containsText" dxfId="41" priority="39" operator="containsText" text="IN USE">
      <formula>NOT(ISERROR(SEARCH("IN USE",J5)))</formula>
    </cfRule>
  </conditionalFormatting>
  <conditionalFormatting sqref="K5">
    <cfRule type="containsText" dxfId="40" priority="38" operator="containsText" text="IN USE">
      <formula>NOT(ISERROR(SEARCH("IN USE",K5)))</formula>
    </cfRule>
  </conditionalFormatting>
  <conditionalFormatting sqref="J6">
    <cfRule type="containsText" dxfId="39" priority="37" operator="containsText" text="IN USE">
      <formula>NOT(ISERROR(SEARCH("IN USE",J6)))</formula>
    </cfRule>
  </conditionalFormatting>
  <conditionalFormatting sqref="K6">
    <cfRule type="containsText" dxfId="38" priority="36" operator="containsText" text="IN USE">
      <formula>NOT(ISERROR(SEARCH("IN USE",K6)))</formula>
    </cfRule>
  </conditionalFormatting>
  <conditionalFormatting sqref="X1:AE1">
    <cfRule type="containsText" dxfId="37" priority="35" operator="containsText" text="IN USE">
      <formula>NOT(ISERROR(SEARCH("IN USE",X1)))</formula>
    </cfRule>
  </conditionalFormatting>
  <conditionalFormatting sqref="I31:I32">
    <cfRule type="containsText" dxfId="36" priority="34" operator="containsText" text="IN USE">
      <formula>NOT(ISERROR(SEARCH("IN USE",I31)))</formula>
    </cfRule>
  </conditionalFormatting>
  <conditionalFormatting sqref="A29">
    <cfRule type="containsText" dxfId="35" priority="31" operator="containsText" text="N">
      <formula>NOT(ISERROR(SEARCH("N",A29)))</formula>
    </cfRule>
    <cfRule type="containsText" dxfId="34" priority="32" operator="containsText" text="Y">
      <formula>NOT(ISERROR(SEARCH("Y",A29)))</formula>
    </cfRule>
    <cfRule type="containsText" dxfId="33" priority="33" operator="containsText" text="P">
      <formula>NOT(ISERROR(SEARCH("P",A29)))</formula>
    </cfRule>
  </conditionalFormatting>
  <conditionalFormatting sqref="A28">
    <cfRule type="containsText" dxfId="32" priority="28" operator="containsText" text="N">
      <formula>NOT(ISERROR(SEARCH("N",A28)))</formula>
    </cfRule>
    <cfRule type="containsText" dxfId="31" priority="29" operator="containsText" text="Y">
      <formula>NOT(ISERROR(SEARCH("Y",A28)))</formula>
    </cfRule>
    <cfRule type="containsText" dxfId="30" priority="30" operator="containsText" text="P">
      <formula>NOT(ISERROR(SEARCH("P",A28)))</formula>
    </cfRule>
  </conditionalFormatting>
  <conditionalFormatting sqref="I28">
    <cfRule type="containsText" dxfId="29" priority="27" operator="containsText" text="IN USE">
      <formula>NOT(ISERROR(SEARCH("IN USE",I28)))</formula>
    </cfRule>
  </conditionalFormatting>
  <conditionalFormatting sqref="M28">
    <cfRule type="containsText" dxfId="28" priority="26" operator="containsText" text="IN USE">
      <formula>NOT(ISERROR(SEARCH("IN USE",M28)))</formula>
    </cfRule>
  </conditionalFormatting>
  <conditionalFormatting sqref="I29">
    <cfRule type="containsText" dxfId="27" priority="25" operator="containsText" text="IN USE">
      <formula>NOT(ISERROR(SEARCH("IN USE",I29)))</formula>
    </cfRule>
  </conditionalFormatting>
  <conditionalFormatting sqref="I14:K25 M12:O12 H12 M14:O26 H26:K26 H17:H25 L12:L26">
    <cfRule type="containsText" dxfId="26" priority="24" operator="containsText" text="IN USE">
      <formula>NOT(ISERROR(SEARCH("IN USE",H12)))</formula>
    </cfRule>
  </conditionalFormatting>
  <conditionalFormatting sqref="A12 A17:A26">
    <cfRule type="containsText" dxfId="25" priority="21" operator="containsText" text="N">
      <formula>NOT(ISERROR(SEARCH("N",A12)))</formula>
    </cfRule>
    <cfRule type="containsText" dxfId="24" priority="22" operator="containsText" text="Y">
      <formula>NOT(ISERROR(SEARCH("Y",A12)))</formula>
    </cfRule>
    <cfRule type="containsText" dxfId="23" priority="23" operator="containsText" text="P">
      <formula>NOT(ISERROR(SEARCH("P",A12)))</formula>
    </cfRule>
  </conditionalFormatting>
  <conditionalFormatting sqref="I12:I13 J12:K12">
    <cfRule type="containsText" dxfId="22" priority="20" operator="containsText" text="IN USE">
      <formula>NOT(ISERROR(SEARCH("IN USE",I12)))</formula>
    </cfRule>
  </conditionalFormatting>
  <conditionalFormatting sqref="K13">
    <cfRule type="containsText" dxfId="21" priority="19" operator="containsText" text="IN USE">
      <formula>NOT(ISERROR(SEARCH("IN USE",K13)))</formula>
    </cfRule>
  </conditionalFormatting>
  <conditionalFormatting sqref="M13">
    <cfRule type="containsText" dxfId="20" priority="18" operator="containsText" text="IN USE">
      <formula>NOT(ISERROR(SEARCH("IN USE",M13)))</formula>
    </cfRule>
  </conditionalFormatting>
  <conditionalFormatting sqref="A13:A15">
    <cfRule type="containsText" dxfId="19" priority="15" operator="containsText" text="N">
      <formula>NOT(ISERROR(SEARCH("N",A13)))</formula>
    </cfRule>
    <cfRule type="containsText" dxfId="18" priority="16" operator="containsText" text="Y">
      <formula>NOT(ISERROR(SEARCH("Y",A13)))</formula>
    </cfRule>
    <cfRule type="containsText" dxfId="17" priority="17" operator="containsText" text="P">
      <formula>NOT(ISERROR(SEARCH("P",A13)))</formula>
    </cfRule>
  </conditionalFormatting>
  <conditionalFormatting sqref="A16">
    <cfRule type="containsText" dxfId="16" priority="12" operator="containsText" text="N">
      <formula>NOT(ISERROR(SEARCH("N",A16)))</formula>
    </cfRule>
    <cfRule type="containsText" dxfId="15" priority="13" operator="containsText" text="Y">
      <formula>NOT(ISERROR(SEARCH("Y",A16)))</formula>
    </cfRule>
    <cfRule type="containsText" dxfId="14" priority="14" operator="containsText" text="P">
      <formula>NOT(ISERROR(SEARCH("P",A16)))</formula>
    </cfRule>
  </conditionalFormatting>
  <conditionalFormatting sqref="B22">
    <cfRule type="containsText" dxfId="13" priority="11" operator="containsText" text="IN USE">
      <formula>NOT(ISERROR(SEARCH("IN USE",B22)))</formula>
    </cfRule>
  </conditionalFormatting>
  <conditionalFormatting sqref="H27:L27">
    <cfRule type="containsText" dxfId="12" priority="10" operator="containsText" text="IN USE">
      <formula>NOT(ISERROR(SEARCH("IN USE",H27)))</formula>
    </cfRule>
  </conditionalFormatting>
  <conditionalFormatting sqref="A27">
    <cfRule type="containsText" dxfId="11" priority="7" operator="containsText" text="N">
      <formula>NOT(ISERROR(SEARCH("N",A27)))</formula>
    </cfRule>
    <cfRule type="containsText" dxfId="10" priority="8" operator="containsText" text="Y">
      <formula>NOT(ISERROR(SEARCH("Y",A27)))</formula>
    </cfRule>
    <cfRule type="containsText" dxfId="9" priority="9" operator="containsText" text="P">
      <formula>NOT(ISERROR(SEARCH("P",A27)))</formula>
    </cfRule>
  </conditionalFormatting>
  <conditionalFormatting sqref="M27">
    <cfRule type="containsText" dxfId="8" priority="6" operator="containsText" text="IN USE">
      <formula>NOT(ISERROR(SEARCH("IN USE",M27)))</formula>
    </cfRule>
  </conditionalFormatting>
  <conditionalFormatting sqref="N27:N28">
    <cfRule type="containsText" dxfId="7" priority="5" operator="containsText" text="IN USE">
      <formula>NOT(ISERROR(SEARCH("IN USE",N27)))</formula>
    </cfRule>
  </conditionalFormatting>
  <conditionalFormatting sqref="O27">
    <cfRule type="containsText" dxfId="6" priority="4" operator="containsText" text="IN USE">
      <formula>NOT(ISERROR(SEARCH("IN USE",O27)))</formula>
    </cfRule>
  </conditionalFormatting>
  <conditionalFormatting sqref="J31:J32">
    <cfRule type="containsText" dxfId="5" priority="3" operator="containsText" text="IN USE">
      <formula>NOT(ISERROR(SEARCH("IN USE",J31)))</formula>
    </cfRule>
  </conditionalFormatting>
  <conditionalFormatting sqref="N30">
    <cfRule type="containsText" dxfId="4" priority="2" operator="containsText" text="IN USE">
      <formula>NOT(ISERROR(SEARCH("IN USE",N30)))</formula>
    </cfRule>
  </conditionalFormatting>
  <conditionalFormatting sqref="J29">
    <cfRule type="containsText" dxfId="3" priority="1" operator="containsText" text="IN USE">
      <formula>NOT(ISERROR(SEARCH("IN USE",J29)))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100</v>
      </c>
      <c r="B1" t="s">
        <v>234</v>
      </c>
      <c r="C1" t="s">
        <v>235</v>
      </c>
      <c r="D1" t="s">
        <v>236</v>
      </c>
    </row>
    <row r="2" spans="1:6" x14ac:dyDescent="0.3">
      <c r="A2" t="s">
        <v>232</v>
      </c>
      <c r="B2" t="s">
        <v>232</v>
      </c>
      <c r="C2" t="s">
        <v>249</v>
      </c>
      <c r="D2">
        <v>4</v>
      </c>
    </row>
    <row r="3" spans="1:6" x14ac:dyDescent="0.3">
      <c r="A3" t="s">
        <v>104</v>
      </c>
      <c r="B3" t="s">
        <v>104</v>
      </c>
      <c r="C3" t="s">
        <v>133</v>
      </c>
      <c r="D3">
        <v>1</v>
      </c>
    </row>
    <row r="4" spans="1:6" x14ac:dyDescent="0.3">
      <c r="A4" t="s">
        <v>245</v>
      </c>
      <c r="B4" t="s">
        <v>246</v>
      </c>
      <c r="C4" t="s">
        <v>132</v>
      </c>
      <c r="D4">
        <v>1</v>
      </c>
    </row>
    <row r="5" spans="1:6" x14ac:dyDescent="0.3">
      <c r="A5" t="s">
        <v>233</v>
      </c>
      <c r="B5" t="s">
        <v>98</v>
      </c>
      <c r="C5" t="s">
        <v>126</v>
      </c>
      <c r="D5">
        <v>1</v>
      </c>
    </row>
    <row r="6" spans="1:6" x14ac:dyDescent="0.3">
      <c r="A6" t="s">
        <v>247</v>
      </c>
      <c r="B6" t="s">
        <v>248</v>
      </c>
      <c r="C6" t="s">
        <v>251</v>
      </c>
      <c r="D6">
        <v>2</v>
      </c>
    </row>
    <row r="7" spans="1:6" x14ac:dyDescent="0.3">
      <c r="A7" t="s">
        <v>237</v>
      </c>
      <c r="B7" t="s">
        <v>102</v>
      </c>
      <c r="C7" t="s">
        <v>252</v>
      </c>
      <c r="D7">
        <v>2</v>
      </c>
    </row>
    <row r="8" spans="1:6" x14ac:dyDescent="0.3">
      <c r="A8" t="s">
        <v>241</v>
      </c>
      <c r="B8" t="s">
        <v>242</v>
      </c>
      <c r="C8" t="s">
        <v>250</v>
      </c>
      <c r="D8">
        <v>4</v>
      </c>
    </row>
    <row r="9" spans="1:6" x14ac:dyDescent="0.3">
      <c r="A9" t="s">
        <v>243</v>
      </c>
      <c r="B9" t="s">
        <v>244</v>
      </c>
      <c r="C9" t="s">
        <v>253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99</v>
      </c>
      <c r="C1" s="10" t="s">
        <v>100</v>
      </c>
      <c r="D1" s="10" t="s">
        <v>101</v>
      </c>
      <c r="E1" s="10" t="s">
        <v>130</v>
      </c>
      <c r="F1" s="10" t="s">
        <v>124</v>
      </c>
    </row>
    <row r="2" spans="1:7" x14ac:dyDescent="0.3">
      <c r="A2" t="s">
        <v>136</v>
      </c>
      <c r="B2" t="s">
        <v>16</v>
      </c>
      <c r="C2" t="s">
        <v>98</v>
      </c>
      <c r="D2">
        <v>1</v>
      </c>
      <c r="F2" t="s">
        <v>125</v>
      </c>
      <c r="G2" t="s">
        <v>131</v>
      </c>
    </row>
    <row r="3" spans="1:7" x14ac:dyDescent="0.3">
      <c r="A3" t="s">
        <v>136</v>
      </c>
      <c r="B3" t="s">
        <v>17</v>
      </c>
      <c r="C3" t="s">
        <v>98</v>
      </c>
      <c r="D3">
        <v>1</v>
      </c>
      <c r="F3" t="s">
        <v>125</v>
      </c>
      <c r="G3" t="s">
        <v>131</v>
      </c>
    </row>
    <row r="4" spans="1:7" x14ac:dyDescent="0.3">
      <c r="A4" t="s">
        <v>136</v>
      </c>
      <c r="B4" t="s">
        <v>18</v>
      </c>
      <c r="C4" t="s">
        <v>98</v>
      </c>
      <c r="D4">
        <v>1</v>
      </c>
      <c r="F4" t="s">
        <v>125</v>
      </c>
      <c r="G4" t="s">
        <v>131</v>
      </c>
    </row>
    <row r="5" spans="1:7" x14ac:dyDescent="0.3">
      <c r="A5" t="s">
        <v>136</v>
      </c>
      <c r="B5" t="s">
        <v>19</v>
      </c>
      <c r="C5" t="s">
        <v>102</v>
      </c>
      <c r="D5">
        <v>2</v>
      </c>
      <c r="E5" t="s">
        <v>35</v>
      </c>
    </row>
    <row r="6" spans="1:7" x14ac:dyDescent="0.3">
      <c r="A6" t="s">
        <v>136</v>
      </c>
      <c r="B6" t="s">
        <v>22</v>
      </c>
      <c r="C6" t="s">
        <v>98</v>
      </c>
      <c r="D6">
        <v>1</v>
      </c>
      <c r="F6" t="s">
        <v>125</v>
      </c>
      <c r="G6" t="s">
        <v>131</v>
      </c>
    </row>
    <row r="7" spans="1:7" x14ac:dyDescent="0.3">
      <c r="A7" t="s">
        <v>136</v>
      </c>
      <c r="B7" t="s">
        <v>21</v>
      </c>
      <c r="C7" t="s">
        <v>98</v>
      </c>
      <c r="D7">
        <v>1</v>
      </c>
      <c r="F7" t="s">
        <v>125</v>
      </c>
      <c r="G7" t="s">
        <v>131</v>
      </c>
    </row>
    <row r="8" spans="1:7" x14ac:dyDescent="0.3">
      <c r="A8" t="s">
        <v>136</v>
      </c>
      <c r="B8" t="s">
        <v>20</v>
      </c>
      <c r="C8" t="s">
        <v>98</v>
      </c>
      <c r="D8">
        <v>1</v>
      </c>
      <c r="F8" t="s">
        <v>125</v>
      </c>
      <c r="G8" t="s">
        <v>131</v>
      </c>
    </row>
    <row r="9" spans="1:7" x14ac:dyDescent="0.3">
      <c r="A9" t="s">
        <v>136</v>
      </c>
      <c r="B9" t="s">
        <v>137</v>
      </c>
      <c r="C9" t="s">
        <v>103</v>
      </c>
      <c r="D9">
        <v>4</v>
      </c>
      <c r="F9" t="s">
        <v>126</v>
      </c>
      <c r="G9" t="s">
        <v>132</v>
      </c>
    </row>
    <row r="10" spans="1:7" x14ac:dyDescent="0.3">
      <c r="A10" t="s">
        <v>136</v>
      </c>
      <c r="B10" t="s">
        <v>138</v>
      </c>
      <c r="C10" t="s">
        <v>104</v>
      </c>
      <c r="D10">
        <v>1</v>
      </c>
      <c r="F10" t="s">
        <v>126</v>
      </c>
      <c r="G10" t="s">
        <v>134</v>
      </c>
    </row>
    <row r="11" spans="1:7" x14ac:dyDescent="0.3">
      <c r="A11" t="s">
        <v>136</v>
      </c>
      <c r="B11" t="s">
        <v>139</v>
      </c>
      <c r="C11" t="s">
        <v>103</v>
      </c>
      <c r="D11">
        <v>4</v>
      </c>
      <c r="F11" t="s">
        <v>127</v>
      </c>
      <c r="G11" t="s">
        <v>132</v>
      </c>
    </row>
    <row r="12" spans="1:7" x14ac:dyDescent="0.3">
      <c r="A12" t="s">
        <v>136</v>
      </c>
      <c r="B12" t="s">
        <v>140</v>
      </c>
      <c r="C12" t="s">
        <v>104</v>
      </c>
      <c r="D12">
        <v>1</v>
      </c>
      <c r="F12" t="s">
        <v>127</v>
      </c>
      <c r="G12" t="s">
        <v>134</v>
      </c>
    </row>
    <row r="13" spans="1:7" x14ac:dyDescent="0.3">
      <c r="A13" t="s">
        <v>136</v>
      </c>
      <c r="B13" t="s">
        <v>23</v>
      </c>
      <c r="C13" t="s">
        <v>105</v>
      </c>
      <c r="D13">
        <v>1</v>
      </c>
      <c r="F13" t="s">
        <v>125</v>
      </c>
      <c r="G13" t="s">
        <v>131</v>
      </c>
    </row>
    <row r="14" spans="1:7" x14ac:dyDescent="0.3">
      <c r="A14" t="s">
        <v>136</v>
      </c>
      <c r="B14" t="s">
        <v>141</v>
      </c>
      <c r="C14" t="s">
        <v>98</v>
      </c>
      <c r="D14">
        <v>1</v>
      </c>
      <c r="F14" t="s">
        <v>125</v>
      </c>
      <c r="G14" t="s">
        <v>131</v>
      </c>
    </row>
    <row r="15" spans="1:7" x14ac:dyDescent="0.3">
      <c r="A15" t="s">
        <v>136</v>
      </c>
      <c r="B15" t="s">
        <v>142</v>
      </c>
      <c r="C15" t="s">
        <v>103</v>
      </c>
      <c r="D15">
        <v>4</v>
      </c>
      <c r="F15" t="s">
        <v>128</v>
      </c>
      <c r="G15" t="s">
        <v>133</v>
      </c>
    </row>
    <row r="16" spans="1:7" x14ac:dyDescent="0.3">
      <c r="A16" t="s">
        <v>136</v>
      </c>
      <c r="B16" t="s">
        <v>143</v>
      </c>
      <c r="C16" t="s">
        <v>103</v>
      </c>
      <c r="D16">
        <v>4</v>
      </c>
      <c r="F16" t="s">
        <v>128</v>
      </c>
      <c r="G16" t="s">
        <v>133</v>
      </c>
    </row>
    <row r="17" spans="1:7" x14ac:dyDescent="0.3">
      <c r="A17" t="s">
        <v>136</v>
      </c>
      <c r="B17" t="s">
        <v>144</v>
      </c>
      <c r="C17" t="s">
        <v>103</v>
      </c>
      <c r="D17">
        <v>4</v>
      </c>
      <c r="F17" t="s">
        <v>129</v>
      </c>
      <c r="G17" t="s">
        <v>134</v>
      </c>
    </row>
    <row r="18" spans="1:7" x14ac:dyDescent="0.3">
      <c r="A18" t="s">
        <v>136</v>
      </c>
      <c r="B18" t="s">
        <v>145</v>
      </c>
      <c r="C18" t="s">
        <v>98</v>
      </c>
      <c r="D18">
        <v>1</v>
      </c>
      <c r="F18" t="s">
        <v>129</v>
      </c>
      <c r="G18" t="s">
        <v>134</v>
      </c>
    </row>
    <row r="19" spans="1:7" x14ac:dyDescent="0.3">
      <c r="A19" t="s">
        <v>146</v>
      </c>
      <c r="B19" s="2" t="s">
        <v>95</v>
      </c>
      <c r="C19" t="s">
        <v>152</v>
      </c>
      <c r="D19">
        <v>4</v>
      </c>
    </row>
    <row r="20" spans="1:7" x14ac:dyDescent="0.3">
      <c r="A20" t="s">
        <v>146</v>
      </c>
      <c r="B20" t="s">
        <v>96</v>
      </c>
      <c r="C20" t="s">
        <v>149</v>
      </c>
      <c r="D20">
        <v>4</v>
      </c>
    </row>
    <row r="21" spans="1:7" x14ac:dyDescent="0.3">
      <c r="A21" t="s">
        <v>146</v>
      </c>
      <c r="B21" t="s">
        <v>147</v>
      </c>
      <c r="C21" t="s">
        <v>151</v>
      </c>
      <c r="D21">
        <v>2</v>
      </c>
    </row>
    <row r="22" spans="1:7" x14ac:dyDescent="0.3">
      <c r="A22" t="s">
        <v>146</v>
      </c>
      <c r="B22" t="s">
        <v>148</v>
      </c>
      <c r="C22" t="s">
        <v>151</v>
      </c>
      <c r="D22">
        <v>2</v>
      </c>
    </row>
    <row r="23" spans="1:7" x14ac:dyDescent="0.3">
      <c r="A23" t="s">
        <v>146</v>
      </c>
      <c r="B23" t="s">
        <v>150</v>
      </c>
      <c r="C23" t="s">
        <v>151</v>
      </c>
      <c r="D23">
        <v>2</v>
      </c>
    </row>
    <row r="24" spans="1:7" x14ac:dyDescent="0.3">
      <c r="A24" t="s">
        <v>146</v>
      </c>
      <c r="B24" s="2" t="s">
        <v>69</v>
      </c>
      <c r="C24" t="s">
        <v>135</v>
      </c>
      <c r="D24">
        <v>4</v>
      </c>
    </row>
    <row r="25" spans="1:7" x14ac:dyDescent="0.3">
      <c r="A25" t="s">
        <v>146</v>
      </c>
      <c r="B25" s="2" t="s">
        <v>70</v>
      </c>
      <c r="C25" t="s">
        <v>135</v>
      </c>
      <c r="D25">
        <v>4</v>
      </c>
    </row>
    <row r="26" spans="1:7" x14ac:dyDescent="0.3">
      <c r="A26" t="s">
        <v>146</v>
      </c>
      <c r="B26" s="2" t="s">
        <v>71</v>
      </c>
      <c r="C26" t="s">
        <v>135</v>
      </c>
      <c r="D26">
        <v>4</v>
      </c>
    </row>
    <row r="27" spans="1:7" x14ac:dyDescent="0.3">
      <c r="A27" t="s">
        <v>146</v>
      </c>
      <c r="B27" s="2" t="s">
        <v>72</v>
      </c>
      <c r="C27" t="s">
        <v>135</v>
      </c>
      <c r="D27">
        <v>4</v>
      </c>
    </row>
    <row r="28" spans="1:7" x14ac:dyDescent="0.3">
      <c r="A28" t="s">
        <v>146</v>
      </c>
      <c r="B28" s="2" t="s">
        <v>73</v>
      </c>
      <c r="C28" t="s">
        <v>135</v>
      </c>
      <c r="D28">
        <v>4</v>
      </c>
    </row>
    <row r="29" spans="1:7" x14ac:dyDescent="0.3">
      <c r="A29" t="s">
        <v>146</v>
      </c>
      <c r="B29" s="2" t="s">
        <v>74</v>
      </c>
      <c r="C29" t="s">
        <v>135</v>
      </c>
      <c r="D29">
        <v>4</v>
      </c>
    </row>
    <row r="30" spans="1:7" x14ac:dyDescent="0.3">
      <c r="A30" t="s">
        <v>146</v>
      </c>
      <c r="B30" s="2" t="s">
        <v>75</v>
      </c>
      <c r="C30" t="s">
        <v>135</v>
      </c>
      <c r="D30">
        <v>4</v>
      </c>
    </row>
    <row r="31" spans="1:7" x14ac:dyDescent="0.3">
      <c r="A31" t="s">
        <v>146</v>
      </c>
      <c r="B31" s="2" t="s">
        <v>76</v>
      </c>
      <c r="C31" t="s">
        <v>135</v>
      </c>
      <c r="D31">
        <v>4</v>
      </c>
    </row>
    <row r="32" spans="1:7" x14ac:dyDescent="0.3">
      <c r="A32" t="s">
        <v>146</v>
      </c>
      <c r="B32" s="2" t="s">
        <v>77</v>
      </c>
      <c r="C32" t="s">
        <v>135</v>
      </c>
      <c r="D32">
        <v>4</v>
      </c>
    </row>
    <row r="33" spans="1:4" x14ac:dyDescent="0.3">
      <c r="A33" t="s">
        <v>146</v>
      </c>
      <c r="B33" s="2" t="s">
        <v>78</v>
      </c>
      <c r="C33" t="s">
        <v>135</v>
      </c>
      <c r="D33">
        <v>4</v>
      </c>
    </row>
    <row r="34" spans="1:4" x14ac:dyDescent="0.3">
      <c r="A34" t="s">
        <v>146</v>
      </c>
      <c r="B34" s="2" t="s">
        <v>79</v>
      </c>
      <c r="C34" t="s">
        <v>135</v>
      </c>
      <c r="D34">
        <v>4</v>
      </c>
    </row>
    <row r="35" spans="1:4" x14ac:dyDescent="0.3">
      <c r="A35" t="s">
        <v>146</v>
      </c>
      <c r="B35" s="2" t="s">
        <v>80</v>
      </c>
      <c r="C35" t="s">
        <v>135</v>
      </c>
      <c r="D35">
        <v>4</v>
      </c>
    </row>
    <row r="36" spans="1:4" x14ac:dyDescent="0.3">
      <c r="A36" t="s">
        <v>146</v>
      </c>
      <c r="B36" s="2" t="s">
        <v>81</v>
      </c>
      <c r="C36" t="s">
        <v>135</v>
      </c>
      <c r="D36">
        <v>4</v>
      </c>
    </row>
    <row r="37" spans="1:4" x14ac:dyDescent="0.3">
      <c r="A37" t="s">
        <v>146</v>
      </c>
      <c r="B37" s="2" t="s">
        <v>82</v>
      </c>
      <c r="C37" t="s">
        <v>135</v>
      </c>
      <c r="D37">
        <v>4</v>
      </c>
    </row>
    <row r="38" spans="1:4" x14ac:dyDescent="0.3">
      <c r="A38" t="s">
        <v>146</v>
      </c>
      <c r="B38" s="2" t="s">
        <v>83</v>
      </c>
      <c r="C38" t="s">
        <v>135</v>
      </c>
      <c r="D38">
        <v>4</v>
      </c>
    </row>
    <row r="39" spans="1:4" x14ac:dyDescent="0.3">
      <c r="A39" t="s">
        <v>146</v>
      </c>
      <c r="B39" s="2" t="s">
        <v>84</v>
      </c>
      <c r="C39" t="s">
        <v>135</v>
      </c>
      <c r="D39">
        <v>4</v>
      </c>
    </row>
    <row r="40" spans="1:4" x14ac:dyDescent="0.3">
      <c r="A40" t="s">
        <v>146</v>
      </c>
      <c r="B40" s="2" t="s">
        <v>85</v>
      </c>
      <c r="C40" t="s">
        <v>135</v>
      </c>
      <c r="D40">
        <v>4</v>
      </c>
    </row>
    <row r="41" spans="1:4" x14ac:dyDescent="0.3">
      <c r="A41" t="s">
        <v>146</v>
      </c>
      <c r="B41" s="2" t="s">
        <v>86</v>
      </c>
      <c r="C41" t="s">
        <v>135</v>
      </c>
      <c r="D41">
        <v>4</v>
      </c>
    </row>
    <row r="42" spans="1:4" x14ac:dyDescent="0.3">
      <c r="A42" t="s">
        <v>146</v>
      </c>
      <c r="B42" s="2" t="s">
        <v>87</v>
      </c>
      <c r="C42" t="s">
        <v>135</v>
      </c>
      <c r="D42">
        <v>4</v>
      </c>
    </row>
    <row r="43" spans="1:4" x14ac:dyDescent="0.3">
      <c r="A43" t="s">
        <v>146</v>
      </c>
      <c r="B43" s="2" t="s">
        <v>88</v>
      </c>
      <c r="C43" t="s">
        <v>135</v>
      </c>
      <c r="D43">
        <v>4</v>
      </c>
    </row>
    <row r="44" spans="1:4" x14ac:dyDescent="0.3">
      <c r="A44" t="s">
        <v>146</v>
      </c>
      <c r="B44" s="2" t="s">
        <v>89</v>
      </c>
      <c r="C44" t="s">
        <v>135</v>
      </c>
      <c r="D44">
        <v>4</v>
      </c>
    </row>
    <row r="45" spans="1:4" x14ac:dyDescent="0.3">
      <c r="A45" t="s">
        <v>146</v>
      </c>
      <c r="B45" s="2" t="s">
        <v>90</v>
      </c>
      <c r="C45" t="s">
        <v>135</v>
      </c>
      <c r="D45">
        <v>4</v>
      </c>
    </row>
    <row r="46" spans="1:4" x14ac:dyDescent="0.3">
      <c r="A46" t="s">
        <v>146</v>
      </c>
      <c r="B46" s="2" t="s">
        <v>91</v>
      </c>
      <c r="C46" t="s">
        <v>135</v>
      </c>
      <c r="D46">
        <v>4</v>
      </c>
    </row>
    <row r="47" spans="1:4" x14ac:dyDescent="0.3">
      <c r="A47" t="s">
        <v>146</v>
      </c>
      <c r="B47" s="2" t="s">
        <v>92</v>
      </c>
      <c r="C47" t="s">
        <v>135</v>
      </c>
      <c r="D47">
        <v>4</v>
      </c>
    </row>
    <row r="48" spans="1:4" x14ac:dyDescent="0.3">
      <c r="A48" t="s">
        <v>146</v>
      </c>
      <c r="B48" s="2" t="s">
        <v>93</v>
      </c>
      <c r="C48" t="s">
        <v>135</v>
      </c>
      <c r="D48">
        <v>4</v>
      </c>
    </row>
    <row r="49" spans="1:4" x14ac:dyDescent="0.3">
      <c r="A49" t="s">
        <v>146</v>
      </c>
      <c r="B49" s="2" t="s">
        <v>94</v>
      </c>
      <c r="C49" t="s">
        <v>135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106</v>
      </c>
    </row>
    <row r="3" spans="2:3" x14ac:dyDescent="0.3">
      <c r="B3" s="9" t="s">
        <v>107</v>
      </c>
    </row>
    <row r="4" spans="2:3" x14ac:dyDescent="0.3">
      <c r="B4" s="9" t="s">
        <v>108</v>
      </c>
    </row>
    <row r="5" spans="2:3" x14ac:dyDescent="0.3">
      <c r="B5" s="11" t="s">
        <v>109</v>
      </c>
    </row>
    <row r="6" spans="2:3" x14ac:dyDescent="0.3">
      <c r="C6" s="6" t="s">
        <v>110</v>
      </c>
    </row>
    <row r="8" spans="2:3" x14ac:dyDescent="0.3">
      <c r="B8" t="s">
        <v>111</v>
      </c>
    </row>
    <row r="10" spans="2:3" x14ac:dyDescent="0.3">
      <c r="C10" s="7" t="s">
        <v>112</v>
      </c>
    </row>
    <row r="11" spans="2:3" x14ac:dyDescent="0.3">
      <c r="B11" s="9"/>
      <c r="C11" s="7" t="s">
        <v>113</v>
      </c>
    </row>
    <row r="12" spans="2:3" x14ac:dyDescent="0.3">
      <c r="B12" s="9"/>
      <c r="C12" s="7" t="s">
        <v>114</v>
      </c>
    </row>
    <row r="13" spans="2:3" x14ac:dyDescent="0.3">
      <c r="B13" s="9"/>
      <c r="C13" s="7" t="s">
        <v>115</v>
      </c>
    </row>
    <row r="14" spans="2:3" x14ac:dyDescent="0.3">
      <c r="B14" s="9"/>
      <c r="C14" s="7" t="s">
        <v>116</v>
      </c>
    </row>
    <row r="15" spans="2:3" x14ac:dyDescent="0.3">
      <c r="B15" s="9"/>
      <c r="C15" s="7" t="s">
        <v>117</v>
      </c>
    </row>
    <row r="16" spans="2:3" x14ac:dyDescent="0.3">
      <c r="B16" s="9"/>
      <c r="C16" s="7" t="s">
        <v>118</v>
      </c>
    </row>
    <row r="17" spans="2:3" x14ac:dyDescent="0.3">
      <c r="B17" s="9"/>
      <c r="C17" s="7" t="s">
        <v>119</v>
      </c>
    </row>
    <row r="18" spans="2:3" x14ac:dyDescent="0.3">
      <c r="B18" s="9"/>
      <c r="C18" s="7" t="s">
        <v>120</v>
      </c>
    </row>
    <row r="19" spans="2:3" x14ac:dyDescent="0.3">
      <c r="B19" s="9"/>
      <c r="C19" s="7" t="s">
        <v>121</v>
      </c>
    </row>
    <row r="20" spans="2:3" x14ac:dyDescent="0.3">
      <c r="B20" s="9"/>
      <c r="C20" s="7" t="s">
        <v>122</v>
      </c>
    </row>
    <row r="21" spans="2:3" x14ac:dyDescent="0.3">
      <c r="B21" s="9"/>
      <c r="C21" s="7" t="s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D,S</cp:lastModifiedBy>
  <dcterms:created xsi:type="dcterms:W3CDTF">2020-11-20T17:40:49Z</dcterms:created>
  <dcterms:modified xsi:type="dcterms:W3CDTF">2023-09-25T18:58:54Z</dcterms:modified>
</cp:coreProperties>
</file>