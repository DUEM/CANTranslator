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emp\telemetry22\CANTranslator\config\"/>
    </mc:Choice>
  </mc:AlternateContent>
  <xr:revisionPtr revIDLastSave="0" documentId="13_ncr:1_{ED6ED5EC-3C9F-40F7-964F-E535CFDDFFC6}" xr6:coauthVersionLast="47" xr6:coauthVersionMax="47" xr10:uidLastSave="{00000000-0000-0000-0000-000000000000}"/>
  <bookViews>
    <workbookView xWindow="-108" yWindow="-108" windowWidth="23256" windowHeight="12576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2" i="1" l="1" a="1"/>
  <c r="Y12" i="1" s="1"/>
  <c r="Z12" i="1" a="1"/>
  <c r="Z12" i="1" s="1"/>
  <c r="AA12" i="1" a="1"/>
  <c r="AA12" i="1" s="1"/>
  <c r="AC12" i="1" a="1"/>
  <c r="AC12" i="1" s="1"/>
  <c r="AD12" i="1" a="1"/>
  <c r="AD12" i="1" s="1"/>
  <c r="AE12" i="1" a="1"/>
  <c r="AE12" i="1" s="1"/>
  <c r="Y13" i="1" a="1"/>
  <c r="Y13" i="1" s="1"/>
  <c r="AA13" i="1" a="1"/>
  <c r="AA13" i="1" s="1"/>
  <c r="AC13" i="1" a="1"/>
  <c r="AC13" i="1" s="1"/>
  <c r="Y14" i="1" a="1"/>
  <c r="Y14" i="1"/>
  <c r="Z14" i="1" a="1"/>
  <c r="Z14" i="1" s="1"/>
  <c r="AA14" i="1" a="1"/>
  <c r="AA14" i="1" s="1"/>
  <c r="AC14" i="1" a="1"/>
  <c r="AC14" i="1" s="1"/>
  <c r="AD14" i="1" a="1"/>
  <c r="AD14" i="1"/>
  <c r="AE14" i="1" a="1"/>
  <c r="AE14" i="1"/>
  <c r="Y15" i="1" a="1"/>
  <c r="Y15" i="1" s="1"/>
  <c r="Z15" i="1" a="1"/>
  <c r="Z15" i="1" s="1"/>
  <c r="AA15" i="1" a="1"/>
  <c r="AA15" i="1" s="1"/>
  <c r="AC15" i="1" a="1"/>
  <c r="AC15" i="1"/>
  <c r="AD15" i="1" a="1"/>
  <c r="AD15" i="1" s="1"/>
  <c r="AE15" i="1" a="1"/>
  <c r="AE15" i="1" s="1"/>
  <c r="Y16" i="1" a="1"/>
  <c r="Y16" i="1" s="1"/>
  <c r="Z16" i="1" a="1"/>
  <c r="Z16" i="1"/>
  <c r="AA16" i="1" a="1"/>
  <c r="AA16" i="1"/>
  <c r="AC16" i="1" a="1"/>
  <c r="AC16" i="1" s="1"/>
  <c r="AD16" i="1" a="1"/>
  <c r="AD16" i="1" s="1"/>
  <c r="AE16" i="1" a="1"/>
  <c r="AE16" i="1" s="1"/>
  <c r="Y17" i="1" a="1"/>
  <c r="Y17" i="1"/>
  <c r="Z17" i="1" a="1"/>
  <c r="Z17" i="1" s="1"/>
  <c r="AA17" i="1" a="1"/>
  <c r="AA17" i="1" s="1"/>
  <c r="AC17" i="1" a="1"/>
  <c r="AC17" i="1" s="1"/>
  <c r="AD17" i="1" a="1"/>
  <c r="AD17" i="1"/>
  <c r="AE17" i="1" a="1"/>
  <c r="AE17" i="1"/>
  <c r="AE27" i="1" a="1"/>
  <c r="AE27" i="1" s="1"/>
  <c r="AD27" i="1"/>
  <c r="AD27" i="1" a="1"/>
  <c r="AC27" i="1"/>
  <c r="AC27" i="1" a="1"/>
  <c r="AA27" i="1" a="1"/>
  <c r="AA27" i="1" s="1"/>
  <c r="Z27" i="1" a="1"/>
  <c r="Z27" i="1" s="1"/>
  <c r="Y27" i="1" a="1"/>
  <c r="Y27" i="1" s="1"/>
  <c r="P27" i="1"/>
  <c r="Q27" i="1"/>
  <c r="F27" i="1"/>
  <c r="Y5" i="1" a="1"/>
  <c r="Y5" i="1" s="1"/>
  <c r="Z5" i="1" a="1"/>
  <c r="Z5" i="1" s="1"/>
  <c r="AA5" i="1" a="1"/>
  <c r="AA5" i="1" s="1"/>
  <c r="AC5" i="1" a="1"/>
  <c r="AC5" i="1" s="1"/>
  <c r="AD5" i="1" a="1"/>
  <c r="AD5" i="1" s="1"/>
  <c r="AE5" i="1" a="1"/>
  <c r="AE5" i="1" s="1"/>
  <c r="Y6" i="1" a="1"/>
  <c r="Y6" i="1" s="1"/>
  <c r="Z6" i="1" a="1"/>
  <c r="Z6" i="1" s="1"/>
  <c r="AA6" i="1" a="1"/>
  <c r="AA6" i="1" s="1"/>
  <c r="AC6" i="1" a="1"/>
  <c r="AC6" i="1" s="1"/>
  <c r="AD6" i="1" a="1"/>
  <c r="AD6" i="1" s="1"/>
  <c r="AE6" i="1" a="1"/>
  <c r="AE6" i="1" s="1"/>
  <c r="Y8" i="1" a="1"/>
  <c r="Y8" i="1" s="1"/>
  <c r="Z8" i="1" a="1"/>
  <c r="Z8" i="1" s="1"/>
  <c r="AA8" i="1" a="1"/>
  <c r="AA8" i="1" s="1"/>
  <c r="AC8" i="1" a="1"/>
  <c r="AC8" i="1" s="1"/>
  <c r="AD8" i="1" a="1"/>
  <c r="AD8" i="1" s="1"/>
  <c r="AE8" i="1" a="1"/>
  <c r="AE8" i="1" s="1"/>
  <c r="Y9" i="1" a="1"/>
  <c r="Y9" i="1" s="1"/>
  <c r="Z9" i="1" a="1"/>
  <c r="Z9" i="1"/>
  <c r="AA9" i="1" a="1"/>
  <c r="AA9" i="1"/>
  <c r="AC9" i="1" a="1"/>
  <c r="AC9" i="1" s="1"/>
  <c r="AD9" i="1" a="1"/>
  <c r="AD9" i="1" s="1"/>
  <c r="AE9" i="1" a="1"/>
  <c r="AE9" i="1" s="1"/>
  <c r="Y10" i="1" a="1"/>
  <c r="Y10" i="1" s="1"/>
  <c r="Z10" i="1" a="1"/>
  <c r="Z10" i="1" s="1"/>
  <c r="AA10" i="1" a="1"/>
  <c r="AA10" i="1" s="1"/>
  <c r="AC10" i="1" a="1"/>
  <c r="AC10" i="1" s="1"/>
  <c r="AD10" i="1" a="1"/>
  <c r="AD10" i="1"/>
  <c r="AE10" i="1" a="1"/>
  <c r="AE10" i="1"/>
  <c r="Y11" i="1" a="1"/>
  <c r="Y11" i="1" s="1"/>
  <c r="Z11" i="1" a="1"/>
  <c r="Z11" i="1" s="1"/>
  <c r="AA11" i="1" a="1"/>
  <c r="AA11" i="1" s="1"/>
  <c r="AC11" i="1" a="1"/>
  <c r="AC11" i="1" s="1"/>
  <c r="AD11" i="1" a="1"/>
  <c r="AD11" i="1" s="1"/>
  <c r="AE11" i="1" a="1"/>
  <c r="AE11" i="1" s="1"/>
  <c r="Y18" i="1" a="1"/>
  <c r="Y18" i="1" s="1"/>
  <c r="Z18" i="1" a="1"/>
  <c r="Z18" i="1" s="1"/>
  <c r="AA18" i="1" a="1"/>
  <c r="AA18" i="1" s="1"/>
  <c r="AC18" i="1" a="1"/>
  <c r="AC18" i="1" s="1"/>
  <c r="AD18" i="1" a="1"/>
  <c r="AD18" i="1" s="1"/>
  <c r="AE18" i="1" a="1"/>
  <c r="AE18" i="1" s="1"/>
  <c r="Y19" i="1" a="1"/>
  <c r="Y19" i="1" s="1"/>
  <c r="Z19" i="1" a="1"/>
  <c r="Z19" i="1" s="1"/>
  <c r="AA19" i="1" a="1"/>
  <c r="AA19" i="1" s="1"/>
  <c r="AC19" i="1" a="1"/>
  <c r="AC19" i="1" s="1"/>
  <c r="AD19" i="1" a="1"/>
  <c r="AD19" i="1" s="1"/>
  <c r="AE19" i="1" a="1"/>
  <c r="AE19" i="1" s="1"/>
  <c r="Y20" i="1" a="1"/>
  <c r="Y20" i="1" s="1"/>
  <c r="Z20" i="1" a="1"/>
  <c r="Z20" i="1" s="1"/>
  <c r="AA20" i="1" a="1"/>
  <c r="AA20" i="1" s="1"/>
  <c r="AC20" i="1" a="1"/>
  <c r="AC20" i="1" s="1"/>
  <c r="AD20" i="1" a="1"/>
  <c r="AD20" i="1" s="1"/>
  <c r="AE20" i="1" a="1"/>
  <c r="AE20" i="1" s="1"/>
  <c r="Y21" i="1" a="1"/>
  <c r="Y21" i="1" s="1"/>
  <c r="Z21" i="1" a="1"/>
  <c r="Z21" i="1" s="1"/>
  <c r="AA21" i="1" a="1"/>
  <c r="AA21" i="1" s="1"/>
  <c r="AC21" i="1" a="1"/>
  <c r="AC21" i="1" s="1"/>
  <c r="AD21" i="1" a="1"/>
  <c r="AD21" i="1" s="1"/>
  <c r="AE21" i="1" a="1"/>
  <c r="AE21" i="1" s="1"/>
  <c r="Y22" i="1" a="1"/>
  <c r="Y22" i="1" s="1"/>
  <c r="Z22" i="1" a="1"/>
  <c r="Z22" i="1" s="1"/>
  <c r="AA22" i="1" a="1"/>
  <c r="AA22" i="1" s="1"/>
  <c r="AC22" i="1" a="1"/>
  <c r="AC22" i="1" s="1"/>
  <c r="AD22" i="1" a="1"/>
  <c r="AD22" i="1" s="1"/>
  <c r="AE22" i="1" a="1"/>
  <c r="AE22" i="1" s="1"/>
  <c r="Y23" i="1" a="1"/>
  <c r="Y23" i="1" s="1"/>
  <c r="Z23" i="1" a="1"/>
  <c r="Z23" i="1" s="1"/>
  <c r="AA23" i="1" a="1"/>
  <c r="AA23" i="1" s="1"/>
  <c r="AC23" i="1" a="1"/>
  <c r="AC23" i="1" s="1"/>
  <c r="AD23" i="1" a="1"/>
  <c r="AD23" i="1" s="1"/>
  <c r="AE23" i="1" a="1"/>
  <c r="AE23" i="1" s="1"/>
  <c r="Y24" i="1" a="1"/>
  <c r="Y24" i="1" s="1"/>
  <c r="Z24" i="1" a="1"/>
  <c r="Z24" i="1" s="1"/>
  <c r="AA24" i="1" a="1"/>
  <c r="AA24" i="1" s="1"/>
  <c r="AC24" i="1" a="1"/>
  <c r="AC24" i="1" s="1"/>
  <c r="AD24" i="1" a="1"/>
  <c r="AD24" i="1" s="1"/>
  <c r="AE24" i="1" a="1"/>
  <c r="AE24" i="1" s="1"/>
  <c r="Y25" i="1" a="1"/>
  <c r="Y25" i="1" s="1"/>
  <c r="Z25" i="1" a="1"/>
  <c r="Z25" i="1" s="1"/>
  <c r="AA25" i="1" a="1"/>
  <c r="AA25" i="1" s="1"/>
  <c r="AC25" i="1" a="1"/>
  <c r="AC25" i="1" s="1"/>
  <c r="AD25" i="1" a="1"/>
  <c r="AD25" i="1" s="1"/>
  <c r="AE25" i="1" a="1"/>
  <c r="AE25" i="1" s="1"/>
  <c r="Y26" i="1" a="1"/>
  <c r="Y26" i="1" s="1"/>
  <c r="Z26" i="1" a="1"/>
  <c r="Z26" i="1" s="1"/>
  <c r="AA26" i="1" a="1"/>
  <c r="AA26" i="1" s="1"/>
  <c r="AC26" i="1" a="1"/>
  <c r="AC26" i="1" s="1"/>
  <c r="AD26" i="1" a="1"/>
  <c r="AD26" i="1" s="1"/>
  <c r="AE26" i="1" a="1"/>
  <c r="AE26" i="1" s="1"/>
  <c r="Y28" i="1" a="1"/>
  <c r="Y28" i="1" s="1"/>
  <c r="AA28" i="1" a="1"/>
  <c r="AA28" i="1" s="1"/>
  <c r="AC28" i="1" a="1"/>
  <c r="AC28" i="1" s="1"/>
  <c r="AD28" i="1" a="1"/>
  <c r="AD28" i="1" s="1"/>
  <c r="AE28" i="1" a="1"/>
  <c r="AE28" i="1" s="1"/>
  <c r="AD29" i="1" a="1"/>
  <c r="AD29" i="1"/>
  <c r="AE29" i="1" a="1"/>
  <c r="AE29" i="1" s="1"/>
  <c r="Y30" i="1" a="1"/>
  <c r="Y30" i="1" s="1"/>
  <c r="AA30" i="1" a="1"/>
  <c r="AA30" i="1" s="1"/>
  <c r="AC30" i="1" a="1"/>
  <c r="AC30" i="1" s="1"/>
  <c r="Y3" i="1" a="1"/>
  <c r="Y3" i="1" s="1"/>
  <c r="Z3" i="1" a="1"/>
  <c r="Z3" i="1" s="1"/>
  <c r="AA3" i="1" a="1"/>
  <c r="AA3" i="1" s="1"/>
  <c r="AC3" i="1" a="1"/>
  <c r="AC3" i="1" s="1"/>
  <c r="AD3" i="1" a="1"/>
  <c r="AD3" i="1" s="1"/>
  <c r="AE3" i="1" a="1"/>
  <c r="AE3" i="1" s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3" i="1"/>
  <c r="F36" i="1"/>
  <c r="F35" i="1"/>
  <c r="F34" i="1"/>
  <c r="F33" i="1"/>
  <c r="F8" i="1"/>
  <c r="F9" i="1"/>
  <c r="F28" i="1"/>
  <c r="F29" i="1"/>
  <c r="F30" i="1"/>
  <c r="F7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11" i="1"/>
  <c r="F2" i="1"/>
  <c r="F12" i="1"/>
  <c r="F10" i="1"/>
  <c r="Q10" i="1"/>
  <c r="P10" i="1"/>
  <c r="Q35" i="1"/>
  <c r="AI36" i="1"/>
  <c r="Q11" i="1"/>
  <c r="Q34" i="1"/>
  <c r="Q2" i="1"/>
  <c r="Q38" i="1"/>
  <c r="Q12" i="1"/>
  <c r="Q29" i="1"/>
  <c r="Q30" i="1"/>
  <c r="Q28" i="1"/>
  <c r="P29" i="1"/>
  <c r="P30" i="1"/>
  <c r="P35" i="1"/>
  <c r="AH36" i="1"/>
  <c r="P11" i="1"/>
  <c r="P34" i="1"/>
  <c r="P2" i="1"/>
  <c r="P38" i="1"/>
  <c r="P28" i="1"/>
  <c r="X12" i="1" a="1"/>
  <c r="AB13" i="1" a="1"/>
  <c r="X15" i="1" a="1"/>
  <c r="AB16" i="1" a="1"/>
  <c r="AB17" i="1" a="1"/>
  <c r="AE13" i="1" a="1"/>
  <c r="X13" i="1" a="1"/>
  <c r="AD13" i="1" a="1"/>
  <c r="AB14" i="1" a="1"/>
  <c r="X16" i="1" a="1"/>
  <c r="Z13" i="1" a="1"/>
  <c r="X14" i="1" a="1"/>
  <c r="AB15" i="1" a="1"/>
  <c r="X17" i="1" a="1"/>
  <c r="AB12" i="1" a="1"/>
  <c r="X27" i="1" a="1"/>
  <c r="W27" i="1" a="1"/>
  <c r="V27" i="1" a="1"/>
  <c r="AB27" i="1" a="1"/>
  <c r="S27" i="1" a="1"/>
  <c r="X5" i="1" a="1"/>
  <c r="AB6" i="1" a="1"/>
  <c r="Z7" i="1" a="1"/>
  <c r="X8" i="1" a="1"/>
  <c r="AB9" i="1" a="1"/>
  <c r="X11" i="1" a="1"/>
  <c r="AB18" i="1" a="1"/>
  <c r="X20" i="1" a="1"/>
  <c r="AB21" i="1" a="1"/>
  <c r="X23" i="1" a="1"/>
  <c r="AB24" i="1" a="1"/>
  <c r="X26" i="1" a="1"/>
  <c r="AB28" i="1" a="1"/>
  <c r="Z29" i="1" a="1"/>
  <c r="X30" i="1" a="1"/>
  <c r="AD30" i="1" a="1"/>
  <c r="AA7" i="1" a="1"/>
  <c r="AE30" i="1" a="1"/>
  <c r="AB26" i="1" a="1"/>
  <c r="AA29" i="1" a="1"/>
  <c r="X6" i="1" a="1"/>
  <c r="AB10" i="1" a="1"/>
  <c r="X18" i="1" a="1"/>
  <c r="AB19" i="1" a="1"/>
  <c r="X21" i="1" a="1"/>
  <c r="AB22" i="1" a="1"/>
  <c r="X24" i="1" a="1"/>
  <c r="AB25" i="1" a="1"/>
  <c r="X28" i="1" a="1"/>
  <c r="AB29" i="1" a="1"/>
  <c r="Z30" i="1" a="1"/>
  <c r="AB23" i="1" a="1"/>
  <c r="Z28" i="1" a="1"/>
  <c r="AB7" i="1" a="1"/>
  <c r="X9" i="1" a="1"/>
  <c r="AB30" i="1" a="1"/>
  <c r="AC7" i="1" a="1"/>
  <c r="X25" i="1" a="1"/>
  <c r="AC29" i="1" a="1"/>
  <c r="X29" i="1" a="1"/>
  <c r="AB5" i="1" a="1"/>
  <c r="X7" i="1" a="1"/>
  <c r="AD7" i="1" a="1"/>
  <c r="AB8" i="1" a="1"/>
  <c r="X10" i="1" a="1"/>
  <c r="AB11" i="1" a="1"/>
  <c r="X19" i="1" a="1"/>
  <c r="AB20" i="1" a="1"/>
  <c r="X22" i="1" a="1"/>
  <c r="Y7" i="1" a="1"/>
  <c r="AE7" i="1" a="1"/>
  <c r="Y29" i="1" a="1"/>
  <c r="AB3" i="1" a="1"/>
  <c r="W12" i="1" a="1"/>
  <c r="W25" i="1" a="1"/>
  <c r="W2" i="1" a="1"/>
  <c r="V16" i="1" a="1"/>
  <c r="V5" i="1" a="1"/>
  <c r="S8" i="1" a="1"/>
  <c r="S20" i="1" a="1"/>
  <c r="W29" i="1" a="1"/>
  <c r="S15" i="1" a="1"/>
  <c r="V17" i="1" a="1"/>
  <c r="Y2" i="1" a="1"/>
  <c r="W16" i="1" a="1"/>
  <c r="W10" i="1" a="1"/>
  <c r="V30" i="1" a="1"/>
  <c r="V12" i="1" a="1"/>
  <c r="V2" i="1" a="1"/>
  <c r="S6" i="1" a="1"/>
  <c r="S7" i="1" a="1"/>
  <c r="AC2" i="1" a="1"/>
  <c r="W20" i="1" a="1"/>
  <c r="W26" i="1" a="1"/>
  <c r="V28" i="1" a="1"/>
  <c r="V13" i="1" a="1"/>
  <c r="S29" i="1" a="1"/>
  <c r="S13" i="1" a="1"/>
  <c r="S10" i="1" a="1"/>
  <c r="AD2" i="1" a="1"/>
  <c r="X2" i="1" a="1"/>
  <c r="Z2" i="1" a="1"/>
  <c r="W24" i="1" a="1"/>
  <c r="W13" i="1" a="1"/>
  <c r="V29" i="1" a="1"/>
  <c r="V14" i="1" a="1"/>
  <c r="S23" i="1" a="1"/>
  <c r="S28" i="1" a="1"/>
  <c r="S24" i="1" a="1"/>
  <c r="V23" i="1" a="1"/>
  <c r="W7" i="1" a="1"/>
  <c r="S22" i="1" a="1"/>
  <c r="V10" i="1" a="1"/>
  <c r="W6" i="1" a="1"/>
  <c r="AA2" i="1" a="1"/>
  <c r="W9" i="1" a="1"/>
  <c r="W3" i="1" a="1"/>
  <c r="V24" i="1" a="1"/>
  <c r="V11" i="1" a="1"/>
  <c r="S21" i="1" a="1"/>
  <c r="S14" i="1" a="1"/>
  <c r="S18" i="1" a="1"/>
  <c r="V6" i="1" a="1"/>
  <c r="AE2" i="1" a="1"/>
  <c r="W17" i="1" a="1"/>
  <c r="W11" i="1" a="1"/>
  <c r="V25" i="1" a="1"/>
  <c r="V8" i="1" a="1"/>
  <c r="S5" i="1" a="1"/>
  <c r="S17" i="1" a="1"/>
  <c r="X4" i="1" a="1"/>
  <c r="W21" i="1" a="1"/>
  <c r="W15" i="1" a="1"/>
  <c r="V26" i="1" a="1"/>
  <c r="V9" i="1" a="1"/>
  <c r="S11" i="1" a="1"/>
  <c r="S3" i="1" a="1"/>
  <c r="AB4" i="1" a="1"/>
  <c r="W30" i="1" a="1"/>
  <c r="W19" i="1" a="1"/>
  <c r="V22" i="1" a="1"/>
  <c r="V3" i="1" a="1"/>
  <c r="S4" i="1" a="1"/>
  <c r="S16" i="1" a="1"/>
  <c r="S30" i="1" a="1"/>
  <c r="AB2" i="1" a="1"/>
  <c r="W4" i="1" a="1"/>
  <c r="W14" i="1" a="1"/>
  <c r="W28" i="1" a="1"/>
  <c r="V18" i="1" a="1"/>
  <c r="V4" i="1" a="1"/>
  <c r="S9" i="1" a="1"/>
  <c r="S25" i="1" a="1"/>
  <c r="S2" i="1" a="1"/>
  <c r="W18" i="1" a="1"/>
  <c r="S12" i="1" a="1"/>
  <c r="X3" i="1" a="1"/>
  <c r="W8" i="1" a="1"/>
  <c r="W5" i="1" a="1"/>
  <c r="W22" i="1" a="1"/>
  <c r="V19" i="1" a="1"/>
  <c r="V7" i="1" a="1"/>
  <c r="S19" i="1" a="1"/>
  <c r="S26" i="1" a="1"/>
  <c r="W23" i="1" a="1"/>
  <c r="AB12" i="1" l="1"/>
  <c r="X17" i="1"/>
  <c r="AB15" i="1"/>
  <c r="X14" i="1"/>
  <c r="Z13" i="1"/>
  <c r="X16" i="1"/>
  <c r="AB14" i="1"/>
  <c r="AD13" i="1"/>
  <c r="X13" i="1"/>
  <c r="AE13" i="1"/>
  <c r="AB17" i="1"/>
  <c r="AB16" i="1"/>
  <c r="X15" i="1"/>
  <c r="AB13" i="1"/>
  <c r="X12" i="1"/>
  <c r="S27" i="1"/>
  <c r="AB27" i="1"/>
  <c r="V27" i="1"/>
  <c r="W27" i="1"/>
  <c r="X27" i="1"/>
  <c r="Y29" i="1"/>
  <c r="AE7" i="1"/>
  <c r="Y7" i="1"/>
  <c r="X22" i="1"/>
  <c r="AB20" i="1"/>
  <c r="X19" i="1"/>
  <c r="AB11" i="1"/>
  <c r="X10" i="1"/>
  <c r="AB8" i="1"/>
  <c r="AD7" i="1"/>
  <c r="X7" i="1"/>
  <c r="AB5" i="1"/>
  <c r="X29" i="1"/>
  <c r="AC29" i="1"/>
  <c r="X25" i="1"/>
  <c r="AC7" i="1"/>
  <c r="AB30" i="1"/>
  <c r="X9" i="1"/>
  <c r="AB7" i="1"/>
  <c r="Z28" i="1"/>
  <c r="AB23" i="1"/>
  <c r="Z30" i="1"/>
  <c r="AB29" i="1"/>
  <c r="X28" i="1"/>
  <c r="AB25" i="1"/>
  <c r="X24" i="1"/>
  <c r="AB22" i="1"/>
  <c r="X21" i="1"/>
  <c r="AB19" i="1"/>
  <c r="X18" i="1"/>
  <c r="AB10" i="1"/>
  <c r="X6" i="1"/>
  <c r="AA29" i="1"/>
  <c r="AB26" i="1"/>
  <c r="AE30" i="1"/>
  <c r="AA7" i="1"/>
  <c r="AD30" i="1"/>
  <c r="X30" i="1"/>
  <c r="Z29" i="1"/>
  <c r="AB28" i="1"/>
  <c r="X26" i="1"/>
  <c r="AB24" i="1"/>
  <c r="X23" i="1"/>
  <c r="AB21" i="1"/>
  <c r="X20" i="1"/>
  <c r="AB18" i="1"/>
  <c r="X11" i="1"/>
  <c r="AB9" i="1"/>
  <c r="X8" i="1"/>
  <c r="Z7" i="1"/>
  <c r="AB6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22" i="1"/>
  <c r="W28" i="1"/>
  <c r="W23" i="1"/>
  <c r="W19" i="1"/>
  <c r="W15" i="1"/>
  <c r="W11" i="1"/>
  <c r="W3" i="1"/>
  <c r="W18" i="1"/>
  <c r="W13" i="1"/>
  <c r="W26" i="1"/>
  <c r="W10" i="1"/>
  <c r="W25" i="1"/>
  <c r="W5" i="1"/>
  <c r="W14" i="1"/>
  <c r="W6" i="1"/>
  <c r="W30" i="1"/>
  <c r="W21" i="1"/>
  <c r="W17" i="1"/>
  <c r="W9" i="1"/>
  <c r="W29" i="1"/>
  <c r="W24" i="1"/>
  <c r="W20" i="1"/>
  <c r="W16" i="1"/>
  <c r="W12" i="1"/>
  <c r="W8" i="1"/>
  <c r="W4" i="1"/>
  <c r="W7" i="1"/>
  <c r="W2" i="1"/>
  <c r="V30" i="1"/>
  <c r="V29" i="1"/>
  <c r="V28" i="1"/>
  <c r="V26" i="1"/>
  <c r="V25" i="1"/>
  <c r="V24" i="1"/>
  <c r="V23" i="1"/>
  <c r="V22" i="1"/>
  <c r="V19" i="1"/>
  <c r="V18" i="1"/>
  <c r="V17" i="1"/>
  <c r="V16" i="1"/>
  <c r="V14" i="1"/>
  <c r="V13" i="1"/>
  <c r="V12" i="1"/>
  <c r="V11" i="1"/>
  <c r="V10" i="1"/>
  <c r="V9" i="1"/>
  <c r="V8" i="1"/>
  <c r="V5" i="1"/>
  <c r="V7" i="1"/>
  <c r="V4" i="1"/>
  <c r="V6" i="1"/>
  <c r="V3" i="1"/>
  <c r="V2" i="1"/>
  <c r="S3" i="1"/>
  <c r="S28" i="1"/>
  <c r="S19" i="1"/>
  <c r="S11" i="1"/>
  <c r="S26" i="1"/>
  <c r="S18" i="1"/>
  <c r="S10" i="1"/>
  <c r="S25" i="1"/>
  <c r="S17" i="1"/>
  <c r="S13" i="1"/>
  <c r="S9" i="1"/>
  <c r="S5" i="1"/>
  <c r="S23" i="1"/>
  <c r="S15" i="1"/>
  <c r="S7" i="1"/>
  <c r="S22" i="1"/>
  <c r="S14" i="1"/>
  <c r="S6" i="1"/>
  <c r="S30" i="1"/>
  <c r="S21" i="1"/>
  <c r="S29" i="1"/>
  <c r="S24" i="1"/>
  <c r="S20" i="1"/>
  <c r="S16" i="1"/>
  <c r="S12" i="1"/>
  <c r="S8" i="1"/>
  <c r="S4" i="1"/>
  <c r="S2" i="1"/>
  <c r="T27" i="1" a="1"/>
  <c r="T13" i="1" a="1"/>
  <c r="T28" i="1" a="1"/>
  <c r="T14" i="1" a="1"/>
  <c r="T9" i="1" a="1"/>
  <c r="T24" i="1" a="1"/>
  <c r="T23" i="1" a="1"/>
  <c r="T18" i="1" a="1"/>
  <c r="T16" i="1" a="1"/>
  <c r="T11" i="1" a="1"/>
  <c r="T10" i="1" a="1"/>
  <c r="T2" i="1" a="1"/>
  <c r="T26" i="1" a="1"/>
  <c r="T20" i="1" a="1"/>
  <c r="T19" i="1" a="1"/>
  <c r="T12" i="1" a="1"/>
  <c r="T25" i="1" a="1"/>
  <c r="T7" i="1" a="1"/>
  <c r="T3" i="1" a="1"/>
  <c r="T6" i="1" a="1"/>
  <c r="T17" i="1" a="1"/>
  <c r="T4" i="1" a="1"/>
  <c r="T15" i="1" a="1"/>
  <c r="T30" i="1" a="1"/>
  <c r="T8" i="1" a="1"/>
  <c r="T22" i="1" a="1"/>
  <c r="T21" i="1" a="1"/>
  <c r="T29" i="1" a="1"/>
  <c r="T5" i="1" a="1"/>
  <c r="T27" i="1" l="1"/>
  <c r="T13" i="1"/>
  <c r="T5" i="1"/>
  <c r="T29" i="1"/>
  <c r="T8" i="1"/>
  <c r="T30" i="1"/>
  <c r="T4" i="1"/>
  <c r="T6" i="1"/>
  <c r="T3" i="1"/>
  <c r="T12" i="1"/>
  <c r="T2" i="1"/>
  <c r="T10" i="1"/>
  <c r="T9" i="1"/>
  <c r="T7" i="1"/>
  <c r="T11" i="1"/>
  <c r="T28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<sst xmlns="http://schemas.openxmlformats.org/spreadsheetml/2006/main" count="685" uniqueCount="320">
  <si>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</si>
  <si>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</si>
  <si>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</si>
  <si>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</si>
  <si>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</si>
  <si>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</si>
  <si>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</si>
  <si>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</si>
  <si>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</si>
  <si>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</si>
  <si>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</si>
  <si>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</si>
  <si>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</si>
  <si>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BMS</t>
  </si>
  <si>
    <t>MPPT_javed</t>
  </si>
  <si>
    <t>MPPT_woof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</si>
  <si>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</si>
  <si>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</si>
  <si>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</si>
  <si>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</si>
  <si>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</si>
  <si>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</si>
  <si>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</si>
  <si>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</si>
  <si>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</si>
  <si>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</si>
  <si>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</si>
  <si>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</si>
  <si>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</si>
  <si>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0x702</t>
  </si>
  <si>
    <t>High Cell Voltage</t>
  </si>
  <si>
    <t>High Temperature</t>
  </si>
  <si>
    <t>Pack SOC</t>
  </si>
  <si>
    <t>IN USE</t>
  </si>
  <si>
    <t>Low Temperature</t>
  </si>
  <si>
    <t>Pack Current</t>
  </si>
  <si>
    <t>Low Cell Voltage</t>
  </si>
  <si>
    <t>Average Temperature</t>
  </si>
  <si>
    <t>Pack DCL</t>
  </si>
  <si>
    <t>Pack Inst. Voltage</t>
  </si>
  <si>
    <t>Pack CCL</t>
  </si>
  <si>
    <t>Current Limit…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</si>
  <si>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</si>
  <si>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</si>
  <si>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</si>
  <si>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</si>
  <si>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</si>
  <si>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</si>
  <si>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</si>
  <si>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</si>
  <si>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</si>
  <si>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</si>
  <si>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</si>
  <si>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</si>
  <si>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</si>
  <si>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</si>
  <si>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</si>
  <si>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</si>
  <si>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</si>
  <si>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</si>
  <si>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</si>
  <si>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</si>
  <si>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</si>
  <si>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</si>
  <si>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</si>
  <si>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</si>
  <si>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</si>
  <si>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</si>
  <si>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</si>
  <si>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</si>
  <si>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</si>
  <si>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</si>
  <si>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</si>
  <si>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</si>
  <si>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</si>
  <si>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</si>
  <si>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</si>
  <si>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</si>
  <si>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</si>
  <si>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</si>
  <si>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</si>
  <si>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</si>
  <si>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</si>
  <si>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</si>
  <si>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</si>
  <si>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</si>
  <si>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</si>
  <si>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</si>
  <si>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</si>
  <si>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</si>
  <si>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</si>
  <si>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</si>
  <si>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</si>
  <si>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</si>
  <si>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</si>
  <si>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</si>
  <si>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</si>
  <si>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</si>
  <si>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</si>
  <si>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</si>
  <si>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</si>
  <si>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</si>
  <si>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</si>
  <si>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</si>
  <si>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</si>
  <si>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</si>
  <si>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</si>
  <si>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</si>
  <si>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</si>
  <si>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</si>
  <si>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</si>
  <si>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</si>
  <si>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</si>
  <si>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</si>
  <si>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</si>
  <si>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</si>
  <si>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</si>
  <si>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</si>
  <si>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</si>
  <si>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</si>
  <si>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</si>
  <si>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</si>
  <si>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</si>
  <si>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</si>
  <si>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</si>
  <si>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</si>
  <si>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</si>
  <si>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</si>
  <si>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</si>
  <si>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</si>
  <si>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</si>
  <si>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</si>
  <si>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</si>
  <si>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</si>
  <si>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</si>
  <si>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</si>
  <si>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</si>
  <si>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</si>
  <si>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</si>
  <si>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</si>
  <si>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</si>
  <si>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</si>
  <si>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</si>
  <si>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</si>
  <si>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</si>
  <si>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</si>
  <si>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</si>
  <si>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</si>
  <si>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</si>
  <si>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</si>
  <si>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</si>
  <si>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</si>
  <si>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</si>
  <si>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</si>
  <si>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</si>
  <si>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</si>
  <si>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</si>
  <si>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</si>
  <si>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</si>
  <si>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</si>
  <si>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</si>
  <si>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</si>
  <si>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</si>
  <si>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</si>
  <si>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</si>
  <si>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</si>
  <si>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</si>
  <si>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</si>
  <si>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</si>
  <si>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</si>
  <si>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</si>
  <si>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</si>
  <si>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</si>
  <si>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</si>
  <si>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</si>
  <si>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</si>
  <si>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</si>
  <si>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</si>
  <si>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</si>
  <si>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</si>
  <si>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</si>
  <si>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</si>
  <si>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</si>
  <si>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Pack SumV</t>
  </si>
  <si>
    <t>BMS Message</t>
  </si>
  <si>
    <t>Maybe MPPT?</t>
  </si>
  <si>
    <t>MPPT poll javed</t>
  </si>
  <si>
    <t>MPPT poll woof</t>
  </si>
  <si>
    <t>empty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</si>
  <si>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</si>
  <si>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</si>
  <si>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</si>
  <si>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</si>
  <si>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</si>
  <si>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</si>
  <si>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</si>
  <si>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</si>
  <si>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</si>
  <si>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</si>
  <si>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</si>
  <si>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</si>
  <si>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</si>
  <si>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</si>
  <si>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</si>
  <si>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</si>
  <si>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</si>
  <si>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</si>
  <si>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</si>
  <si>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</si>
  <si>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</si>
  <si>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</si>
  <si>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</si>
  <si>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</si>
  <si>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</si>
  <si>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</si>
  <si>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</si>
  <si>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</si>
  <si>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</si>
  <si>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</si>
  <si>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</si>
  <si>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</si>
  <si>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</si>
  <si>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</si>
  <si>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</si>
  <si>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</si>
  <si>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</si>
  <si>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</si>
  <si>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</si>
  <si>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</si>
  <si>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</si>
  <si>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</si>
  <si>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</si>
  <si>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</si>
  <si>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</si>
  <si>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</si>
  <si>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</si>
  <si>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</si>
  <si>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</si>
  <si>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</si>
  <si>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</si>
  <si>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</si>
  <si>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</si>
  <si>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</si>
  <si>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</si>
  <si>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</si>
  <si>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</si>
  <si>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</si>
  <si>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</si>
  <si>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</si>
  <si>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</si>
  <si>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</si>
  <si>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</si>
  <si>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</si>
  <si>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</si>
  <si>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</si>
  <si>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</si>
  <si>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</si>
  <si>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</si>
  <si>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</si>
  <si>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</si>
  <si>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3*uint16</t>
  </si>
  <si>
    <t>6*int8</t>
  </si>
  <si>
    <t>int8</t>
  </si>
  <si>
    <t>int8_t</t>
  </si>
  <si>
    <t>int16</t>
  </si>
  <si>
    <t>int16_t</t>
  </si>
  <si>
    <t>int16, 2*uint16, 2*uint8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</si>
  <si>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</si>
  <si>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</si>
  <si>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</si>
  <si>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</si>
  <si>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</si>
  <si>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</si>
  <si>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</si>
  <si>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</si>
  <si>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</si>
  <si>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Rail_2_5VAnd1_2V</t>
  </si>
  <si>
    <t>Rail_15VAnd1_65V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</si>
  <si>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</si>
  <si>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</si>
  <si>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</si>
  <si>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</si>
  <si>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</si>
  <si>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</si>
  <si>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</si>
  <si>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Avg Cell Voltage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</si>
  <si>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</si>
  <si>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</si>
  <si>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</si>
  <si>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</si>
  <si>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</si>
  <si>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</si>
  <si>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</si>
  <si>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</si>
  <si>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</si>
  <si>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</si>
  <si>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</si>
  <si>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</si>
  <si>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</si>
  <si>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</si>
  <si>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</si>
  <si>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</si>
  <si>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</si>
  <si>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</si>
  <si>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0x617</t>
  </si>
  <si>
    <t>Slip Speed</t>
  </si>
  <si>
    <t>Slip Speed Measurement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</si>
  <si>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</si>
  <si>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</si>
  <si>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</si>
  <si>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</si>
  <si>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</si>
  <si>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</si>
  <si>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</si>
  <si>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</si>
  <si>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3.3 &amp; 1.9 Volt. Rail</t>
  </si>
  <si>
    <t>One Nine V Supply</t>
  </si>
  <si>
    <t>Three Three V Supply</t>
  </si>
  <si>
    <t>DSP Board Temperature</t>
  </si>
  <si>
    <t>DSP Board 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</si>
</sst>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Bad" xfId="1" builtinId="27"/>
    <cellStyle name="Normal" xfId="0" builtinId="0"/>
  </cellStyles>
  <dxfs count="50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6"/>
  <sheetViews>
    <sheetView tabSelected="1" topLeftCell="C1" zoomScaleNormal="100" workbookViewId="0">
      <pane ySplit="1" topLeftCell="A2" activePane="bottomLeft" state="frozen"/>
      <selection pane="bottomLeft" activeCell="O1" sqref="A1:O1048576"/>
    </sheetView>
  </sheetViews>
  <sheetFormatPr defaultColWidth="10.69921875" defaultRowHeight="15.6" x14ac:dyDescent="0.3"/>
  <cols>
    <col min="1" max="1" width="9.19921875" style="2" customWidth="1"/>
    <col min="2" max="2" width="24.09765625" style="2" customWidth="1"/>
    <col min="3" max="3" width="13.69921875" style="2" customWidth="1"/>
    <col min="4" max="4" width="9.19921875" style="1" customWidth="1"/>
    <col min="5" max="6" width="10.8984375" style="1" customWidth="1"/>
    <col min="7" max="7" width="8.09765625" style="1" customWidth="1"/>
    <col min="8" max="8" width="16.09765625" style="2" bestFit="1" customWidth="1"/>
    <col min="9" max="9" width="15.69921875" style="2" customWidth="1"/>
    <col min="10" max="10" width="19.19921875" style="2" customWidth="1"/>
    <col min="11" max="11" width="9" style="2" customWidth="1"/>
    <col min="12" max="12" width="18.09765625" style="2" customWidth="1"/>
    <col min="13" max="13" width="13.3984375" style="2" bestFit="1" customWidth="1"/>
    <col min="14" max="14" width="9" style="2" bestFit="1" customWidth="1"/>
    <col min="15" max="15" width="12.3984375" style="2" bestFit="1" customWidth="1"/>
    <col min="16" max="16" width="6.19921875" style="2" bestFit="1" customWidth="1"/>
    <col min="17" max="17" width="13.3984375" style="2" bestFit="1" customWidth="1"/>
    <col min="18" max="18" width="37.8984375" style="2" customWidth="1"/>
    <col min="19" max="19" width="24.5" style="2" bestFit="1" customWidth="1"/>
    <col min="20" max="20" width="148.69921875" style="2" customWidth="1"/>
    <col min="21" max="21" width="24.5" style="2" customWidth="1"/>
    <col min="22" max="22" width="36.19921875" style="2" customWidth="1"/>
    <col min="23" max="23" width="14" style="2" customWidth="1"/>
    <col min="24" max="24" width="15.8984375" style="2" customWidth="1"/>
    <col min="25" max="25" width="14.59765625" style="2" customWidth="1"/>
    <col min="26" max="26" width="18.3984375" style="2" customWidth="1"/>
    <col min="27" max="27" width="16.19921875" style="2" customWidth="1"/>
    <col min="28" max="28" width="16.69921875" style="2" customWidth="1"/>
    <col min="29" max="29" width="11.8984375" style="2" customWidth="1"/>
    <col min="30" max="30" width="10.69921875" style="2"/>
    <col min="31" max="31" width="11.8984375" style="2" customWidth="1"/>
    <col min="32" max="16384" width="10.69921875" style="2"/>
  </cols>
  <sheetData>
    <row r="1" spans="1:31" x14ac:dyDescent="0.3">
      <c r="A1" s="4" t="s">
        <v>12</v>
      </c>
      <c r="B1" s="4" t="s">
        <v>10</v>
      </c>
      <c r="C1" s="4" t="s">
        <v>11</v>
      </c>
      <c r="D1" s="5" t="s">
        <v>44</v>
      </c>
      <c r="E1" s="5" t="s">
        <v>0</v>
      </c>
      <c r="F1" s="5" t="s">
        <v>164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50</v>
      </c>
      <c r="Q1" s="4" t="s">
        <v>51</v>
      </c>
      <c r="R1" s="4" t="s">
        <v>108</v>
      </c>
      <c r="S1" s="17" t="s">
        <v>246</v>
      </c>
      <c r="T1" s="17" t="s">
        <v>253</v>
      </c>
      <c r="U1" s="16" t="s">
        <v>274</v>
      </c>
      <c r="V1" s="17" t="s">
        <v>294</v>
      </c>
      <c r="W1" s="16" t="s">
        <v>295</v>
      </c>
      <c r="X1" s="16" t="s">
        <v>296</v>
      </c>
      <c r="Y1" s="16" t="s">
        <v>297</v>
      </c>
      <c r="Z1" s="16" t="s">
        <v>298</v>
      </c>
      <c r="AA1" s="16" t="s">
        <v>299</v>
      </c>
      <c r="AB1" s="16" t="s">
        <v>300</v>
      </c>
      <c r="AC1" s="16" t="s">
        <v>301</v>
      </c>
      <c r="AD1" s="16" t="s">
        <v>302</v>
      </c>
      <c r="AE1" s="16" t="s">
        <v>303</v>
      </c>
    </row>
    <row r="2" spans="1:31" x14ac:dyDescent="0.3">
      <c r="A2" s="2" t="s">
        <v>47</v>
      </c>
      <c r="B2" s="2" t="s">
        <v>214</v>
      </c>
      <c r="C2" s="2" t="s">
        <v>48</v>
      </c>
      <c r="D2" s="1">
        <v>2</v>
      </c>
      <c r="E2" s="1" t="s">
        <v>18</v>
      </c>
      <c r="F2" s="1">
        <f t="shared" ref="F2:F6" si="0">HEX2DEC(RIGHT(E2,LEN(E2)-2))</f>
        <v>246</v>
      </c>
      <c r="G2" s="1">
        <v>8</v>
      </c>
      <c r="H2" s="2" t="s">
        <v>228</v>
      </c>
      <c r="I2" s="2" t="s">
        <v>221</v>
      </c>
      <c r="J2" s="2" t="s">
        <v>222</v>
      </c>
      <c r="K2" s="2" t="s">
        <v>223</v>
      </c>
      <c r="L2" s="2" t="s">
        <v>224</v>
      </c>
      <c r="M2" s="2" t="s">
        <v>225</v>
      </c>
      <c r="N2" s="2" t="s">
        <v>226</v>
      </c>
      <c r="O2" s="2" t="s">
        <v>227</v>
      </c>
      <c r="P2" s="3">
        <f>IF(ISBLANK(D2),"",1/D2)</f>
        <v>0.5</v>
      </c>
      <c r="Q2" s="3">
        <f>IF(ISBLANK(D2),"",G2/D2)</f>
        <v>4</v>
      </c>
      <c r="R2" s="13" t="s">
        <v>254</v>
      </c>
      <c r="S2" s="18" t="str" cm="1">
        <f t="array" ref="S2">structUnpackCode(R2)</f>
        <v>&lt;BBBBBBBB</v>
      </c>
      <c r="T2" s="18" t="str" cm="1">
        <f t="array" ref="T2">CStruct(R2,X2:AE2,G2)</f>
        <v>struct canData {_x000D_
	uint8_t GpsHour;_x000D_
	uint8_t GpsMinute;_x000D_
	uint8_t GpsSeconds;_x000D_
	uint8_t GpsDay;_x000D_
	uint8_t GpsMonth;_x000D_
	uint8_t GpsYear;_x000D_
	uint8_t GpsFix;_x000D_
	uint8_t GpsFixquality;_x000D_
}</v>
      </c>
      <c r="U2" s="18"/>
      <c r="V2" s="19" t="str" cm="1">
        <f t="array" ref="V2">CamelCase(B2)</f>
        <v>TimeAndFix</v>
      </c>
      <c r="W2" s="19" t="str" cm="1">
        <f t="array" ref="W2">CamelCase(C2)</f>
        <v>Telemetry</v>
      </c>
      <c r="X2" s="19" t="str" cm="1">
        <f t="array" ref="X2">IF(OR(H2="IN USE", H2="-"), "-", CamelCase(H2))</f>
        <v>GpsHour</v>
      </c>
      <c r="Y2" s="19" t="str" cm="1">
        <f t="array" ref="Y2">IF(OR(I2="IN USE", I2="-"), "-", CamelCase(I2))</f>
        <v>GpsMinute</v>
      </c>
      <c r="Z2" s="19" t="str" cm="1">
        <f t="array" ref="Z2">IF(OR(J2="IN USE", J2="-"), "-", CamelCase(J2))</f>
        <v>GpsSeconds</v>
      </c>
      <c r="AA2" s="19" t="str" cm="1">
        <f t="array" ref="AA2">IF(OR(K2="IN USE", K2="-"), "-", CamelCase(K2))</f>
        <v>GpsDay</v>
      </c>
      <c r="AB2" s="19" t="str" cm="1">
        <f t="array" ref="AB2">IF(OR(L2="IN USE", L2="-"), "-", CamelCase(L2))</f>
        <v>GpsMonth</v>
      </c>
      <c r="AC2" s="19" t="str" cm="1">
        <f t="array" ref="AC2">IF(OR(M2="IN USE", M2="-"), "-", CamelCase(M2))</f>
        <v>GpsYear</v>
      </c>
      <c r="AD2" s="19" t="str" cm="1">
        <f t="array" ref="AD2">IF(OR(N2="IN USE", N2="-"), "-", CamelCase(N2))</f>
        <v>GpsFix</v>
      </c>
      <c r="AE2" s="19" t="str" cm="1">
        <f t="array" ref="AE2">IF(OR(O2="IN USE", O2="-"), "-", CamelCase(O2))</f>
        <v>GpsFixquality</v>
      </c>
    </row>
    <row r="3" spans="1:31" x14ac:dyDescent="0.3">
      <c r="A3" s="2" t="s">
        <v>47</v>
      </c>
      <c r="B3" s="2" t="s">
        <v>215</v>
      </c>
      <c r="C3" s="2" t="s">
        <v>48</v>
      </c>
      <c r="D3" s="1">
        <v>2</v>
      </c>
      <c r="E3" s="1" t="s">
        <v>211</v>
      </c>
      <c r="F3" s="1">
        <f t="shared" si="0"/>
        <v>247</v>
      </c>
      <c r="G3" s="1">
        <v>8</v>
      </c>
      <c r="H3" s="2" t="s">
        <v>220</v>
      </c>
      <c r="I3" s="2" t="s">
        <v>33</v>
      </c>
      <c r="J3" s="2" t="s">
        <v>33</v>
      </c>
      <c r="K3" s="2" t="s">
        <v>33</v>
      </c>
      <c r="L3" s="2" t="s">
        <v>229</v>
      </c>
      <c r="M3" s="2" t="s">
        <v>33</v>
      </c>
      <c r="N3" s="2" t="s">
        <v>33</v>
      </c>
      <c r="O3" s="2" t="s">
        <v>33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237</v>
      </c>
      <c r="S3" s="18" t="str" cm="1">
        <f t="array" ref="S3">structUnpackCode(R3)</f>
        <v>&lt;ff</v>
      </c>
      <c r="T3" s="18" t="str" cm="1">
        <f t="array" ref="T3">CStruct(R3,X3:AE3,G3)</f>
        <v>struct canData {_x000D_
	float GpsSpeed;_x000D_
	float GpsAngle;_x000D_
}</v>
      </c>
      <c r="U3" s="18"/>
      <c r="V3" s="19" t="str" cm="1">
        <f t="array" ref="V3">CamelCase(B3)</f>
        <v>SpeedAndAngle</v>
      </c>
      <c r="W3" s="19" t="str" cm="1">
        <f t="array" ref="W3">CamelCase(C3)</f>
        <v>Telemetry</v>
      </c>
      <c r="X3" s="19" t="str" cm="1">
        <f t="array" ref="X3">IF(OR(H3="IN USE", H3="-"), "-", CamelCase(H3))</f>
        <v>GpsSpeed</v>
      </c>
      <c r="Y3" s="19" t="str" cm="1">
        <f t="array" ref="Y3">IF(OR(I3="IN USE", I3="-"), "-", CamelCase(I3))</f>
        <v>-</v>
      </c>
      <c r="Z3" s="19" t="str" cm="1">
        <f t="array" ref="Z3">IF(OR(J3="IN USE", J3="-"), "-", CamelCase(J3))</f>
        <v>-</v>
      </c>
      <c r="AA3" s="19" t="str" cm="1">
        <f t="array" ref="AA3">IF(OR(K3="IN USE", K3="-"), "-", CamelCase(K3))</f>
        <v>-</v>
      </c>
      <c r="AB3" s="19" t="str" cm="1">
        <f t="array" ref="AB3">IF(OR(L3="IN USE", L3="-"), "-", CamelCase(L3))</f>
        <v>GpsAngle</v>
      </c>
      <c r="AC3" s="19" t="str" cm="1">
        <f t="array" ref="AC3">IF(OR(M3="IN USE", M3="-"), "-", CamelCase(M3))</f>
        <v>-</v>
      </c>
      <c r="AD3" s="19" t="str" cm="1">
        <f t="array" ref="AD3">IF(OR(N3="IN USE", N3="-"), "-", CamelCase(N3))</f>
        <v>-</v>
      </c>
      <c r="AE3" s="19" t="str" cm="1">
        <f t="array" ref="AE3">IF(OR(O3="IN USE", O3="-"), "-", CamelCase(O3))</f>
        <v>-</v>
      </c>
    </row>
    <row r="4" spans="1:31" x14ac:dyDescent="0.3">
      <c r="A4" s="2" t="s">
        <v>47</v>
      </c>
      <c r="B4" s="2" t="s">
        <v>216</v>
      </c>
      <c r="C4" s="2" t="s">
        <v>48</v>
      </c>
      <c r="D4" s="1">
        <v>2</v>
      </c>
      <c r="E4" s="1" t="s">
        <v>212</v>
      </c>
      <c r="F4" s="1">
        <f t="shared" si="0"/>
        <v>248</v>
      </c>
      <c r="G4" s="1">
        <v>5</v>
      </c>
      <c r="H4" s="2" t="s">
        <v>230</v>
      </c>
      <c r="I4" s="2" t="s">
        <v>33</v>
      </c>
      <c r="J4" s="2" t="s">
        <v>33</v>
      </c>
      <c r="K4" s="2" t="s">
        <v>33</v>
      </c>
      <c r="L4" s="2" t="s">
        <v>232</v>
      </c>
      <c r="M4" s="2" t="s">
        <v>42</v>
      </c>
      <c r="N4" s="2" t="s">
        <v>42</v>
      </c>
      <c r="O4" s="2" t="s">
        <v>42</v>
      </c>
      <c r="P4" s="3">
        <f t="shared" si="1"/>
        <v>0.5</v>
      </c>
      <c r="Q4" s="3">
        <f t="shared" si="2"/>
        <v>2.5</v>
      </c>
      <c r="R4" s="14" t="s">
        <v>239</v>
      </c>
      <c r="S4" s="18" t="str" cm="1">
        <f t="array" ref="S4">structUnpackCode(R4)</f>
        <v>&lt;fc</v>
      </c>
      <c r="T4" s="18" t="str" cm="1">
        <f t="array" ref="T4">CStruct(R4,X4:AE4,G4)</f>
        <v>struct canData {_x000D_
	float GpsLatitude;_x000D_
	char GpsLat;_x000D_
}</v>
      </c>
      <c r="U4" s="18"/>
      <c r="V4" s="19" t="str" cm="1">
        <f t="array" ref="V4">CamelCase(B4)</f>
        <v>Latitude</v>
      </c>
      <c r="W4" s="19" t="str" cm="1">
        <f t="array" ref="W4">CamelCase(C4)</f>
        <v>Telemetry</v>
      </c>
      <c r="X4" s="19" t="str" cm="1">
        <f t="array" ref="X4">IF(OR(H4="IN USE", H4="-"), "-", CamelCase(H4))</f>
        <v>GpsLatitude</v>
      </c>
      <c r="Y4" s="19" t="str" cm="1">
        <f t="array" ref="Y4">IF(OR(I4="IN USE", I4="-"), "-", CamelCase(I4))</f>
        <v>-</v>
      </c>
      <c r="Z4" s="19" t="str" cm="1">
        <f t="array" ref="Z4">IF(OR(J4="IN USE", J4="-"), "-", CamelCase(J4))</f>
        <v>-</v>
      </c>
      <c r="AA4" s="19" t="str" cm="1">
        <f t="array" ref="AA4">IF(OR(K4="IN USE", K4="-"), "-", CamelCase(K4))</f>
        <v>-</v>
      </c>
      <c r="AB4" s="19" t="str" cm="1">
        <f t="array" ref="AB4">IF(OR(L4="IN USE", L4="-"), "-", CamelCase(L4))</f>
        <v>GpsLat</v>
      </c>
      <c r="AC4" s="19" t="str" cm="1">
        <f t="array" ref="AC4">IF(OR(M4="IN USE", M4="-"), "-", CamelCase(M4))</f>
        <v>-</v>
      </c>
      <c r="AD4" s="19" t="str" cm="1">
        <f t="array" ref="AD4">IF(OR(N4="IN USE", N4="-"), "-", CamelCase(N4))</f>
        <v>-</v>
      </c>
      <c r="AE4" s="19" t="str" cm="1">
        <f t="array" ref="AE4">IF(OR(O4="IN USE", O4="-"), "-", CamelCase(O4))</f>
        <v>-</v>
      </c>
    </row>
    <row r="5" spans="1:31" x14ac:dyDescent="0.3">
      <c r="A5" s="2" t="s">
        <v>47</v>
      </c>
      <c r="B5" s="2" t="s">
        <v>217</v>
      </c>
      <c r="C5" s="2" t="s">
        <v>48</v>
      </c>
      <c r="D5" s="1">
        <v>2</v>
      </c>
      <c r="E5" s="1" t="s">
        <v>213</v>
      </c>
      <c r="F5" s="1">
        <f t="shared" si="0"/>
        <v>249</v>
      </c>
      <c r="G5" s="1">
        <v>5</v>
      </c>
      <c r="H5" s="2" t="s">
        <v>231</v>
      </c>
      <c r="I5" s="2" t="s">
        <v>33</v>
      </c>
      <c r="J5" s="2" t="s">
        <v>33</v>
      </c>
      <c r="K5" s="2" t="s">
        <v>33</v>
      </c>
      <c r="L5" s="2" t="s">
        <v>233</v>
      </c>
      <c r="M5" s="2" t="s">
        <v>42</v>
      </c>
      <c r="N5" s="2" t="s">
        <v>42</v>
      </c>
      <c r="O5" s="2" t="s">
        <v>42</v>
      </c>
      <c r="P5" s="3">
        <f t="shared" si="1"/>
        <v>0.5</v>
      </c>
      <c r="Q5" s="3">
        <f t="shared" si="2"/>
        <v>2.5</v>
      </c>
      <c r="R5" s="14" t="s">
        <v>239</v>
      </c>
      <c r="S5" s="18" t="str" cm="1">
        <f t="array" ref="S5">structUnpackCode(R5)</f>
        <v>&lt;fc</v>
      </c>
      <c r="T5" s="18" t="str" cm="1">
        <f t="array" ref="T5">CStruct(R5,X5:AE5,G5)</f>
        <v>struct canData {_x000D_
	float GpsLongitude;_x000D_
	char GpsLon;_x000D_
}</v>
      </c>
      <c r="U5" s="18"/>
      <c r="V5" s="19" t="str" cm="1">
        <f t="array" ref="V5">CamelCase(B5)</f>
        <v>Longitude</v>
      </c>
      <c r="W5" s="19" t="str" cm="1">
        <f t="array" ref="W5">CamelCase(C5)</f>
        <v>Telemetry</v>
      </c>
      <c r="X5" s="19" t="str" cm="1">
        <f t="array" ref="X5">IF(OR(H5="IN USE", H5="-"), "-", CamelCase(H5))</f>
        <v>GpsLongitude</v>
      </c>
      <c r="Y5" s="19" t="str" cm="1">
        <f t="array" ref="Y5">IF(OR(I5="IN USE", I5="-"), "-", CamelCase(I5))</f>
        <v>-</v>
      </c>
      <c r="Z5" s="19" t="str" cm="1">
        <f t="array" ref="Z5">IF(OR(J5="IN USE", J5="-"), "-", CamelCase(J5))</f>
        <v>-</v>
      </c>
      <c r="AA5" s="19" t="str" cm="1">
        <f t="array" ref="AA5">IF(OR(K5="IN USE", K5="-"), "-", CamelCase(K5))</f>
        <v>-</v>
      </c>
      <c r="AB5" s="19" t="str" cm="1">
        <f t="array" ref="AB5">IF(OR(L5="IN USE", L5="-"), "-", CamelCase(L5))</f>
        <v>GpsLon</v>
      </c>
      <c r="AC5" s="19" t="str" cm="1">
        <f t="array" ref="AC5">IF(OR(M5="IN USE", M5="-"), "-", CamelCase(M5))</f>
        <v>-</v>
      </c>
      <c r="AD5" s="19" t="str" cm="1">
        <f t="array" ref="AD5">IF(OR(N5="IN USE", N5="-"), "-", CamelCase(N5))</f>
        <v>-</v>
      </c>
      <c r="AE5" s="19" t="str" cm="1">
        <f t="array" ref="AE5">IF(OR(O5="IN USE", O5="-"), "-", CamelCase(O5))</f>
        <v>-</v>
      </c>
    </row>
    <row r="6" spans="1:31" x14ac:dyDescent="0.3">
      <c r="A6" s="2" t="s">
        <v>47</v>
      </c>
      <c r="B6" s="2" t="s">
        <v>219</v>
      </c>
      <c r="C6" s="2" t="s">
        <v>48</v>
      </c>
      <c r="D6" s="1">
        <v>2</v>
      </c>
      <c r="E6" s="1" t="s">
        <v>218</v>
      </c>
      <c r="F6" s="1">
        <f t="shared" si="0"/>
        <v>250</v>
      </c>
      <c r="G6" s="1">
        <v>5</v>
      </c>
      <c r="H6" s="2" t="s">
        <v>234</v>
      </c>
      <c r="I6" s="2" t="s">
        <v>33</v>
      </c>
      <c r="J6" s="2" t="s">
        <v>33</v>
      </c>
      <c r="K6" s="2" t="s">
        <v>33</v>
      </c>
      <c r="L6" s="2" t="s">
        <v>235</v>
      </c>
      <c r="M6" s="2" t="s">
        <v>42</v>
      </c>
      <c r="N6" s="2" t="s">
        <v>42</v>
      </c>
      <c r="O6" s="2" t="s">
        <v>42</v>
      </c>
      <c r="P6" s="3">
        <f t="shared" si="1"/>
        <v>0.5</v>
      </c>
      <c r="Q6" s="3">
        <f t="shared" si="2"/>
        <v>2.5</v>
      </c>
      <c r="R6" s="14" t="s">
        <v>255</v>
      </c>
      <c r="S6" s="18" t="str" cm="1">
        <f t="array" ref="S6">structUnpackCode(R6)</f>
        <v>&lt;fB</v>
      </c>
      <c r="T6" s="18" t="str" cm="1">
        <f t="array" ref="T6">CStruct(R6,X6:AE6,G6)</f>
        <v>struct canData {_x000D_
	float GpsAltitude;_x000D_
	uint8_t GpsSatellites;_x000D_
}</v>
      </c>
      <c r="U6" s="18"/>
      <c r="V6" s="19" t="str" cm="1">
        <f t="array" ref="V6">CamelCase(B6)</f>
        <v>AltitudeAndSatellites</v>
      </c>
      <c r="W6" s="19" t="str" cm="1">
        <f t="array" ref="W6">CamelCase(C6)</f>
        <v>Telemetry</v>
      </c>
      <c r="X6" s="19" t="str" cm="1">
        <f t="array" ref="X6">IF(OR(H6="IN USE", H6="-"), "-", CamelCase(H6))</f>
        <v>GpsAltitude</v>
      </c>
      <c r="Y6" s="19" t="str" cm="1">
        <f t="array" ref="Y6">IF(OR(I6="IN USE", I6="-"), "-", CamelCase(I6))</f>
        <v>-</v>
      </c>
      <c r="Z6" s="19" t="str" cm="1">
        <f t="array" ref="Z6">IF(OR(J6="IN USE", J6="-"), "-", CamelCase(J6))</f>
        <v>-</v>
      </c>
      <c r="AA6" s="19" t="str" cm="1">
        <f t="array" ref="AA6">IF(OR(K6="IN USE", K6="-"), "-", CamelCase(K6))</f>
        <v>-</v>
      </c>
      <c r="AB6" s="19" t="str" cm="1">
        <f t="array" ref="AB6">IF(OR(L6="IN USE", L6="-"), "-", CamelCase(L6))</f>
        <v>GpsSatellites</v>
      </c>
      <c r="AC6" s="19" t="str" cm="1">
        <f t="array" ref="AC6">IF(OR(M6="IN USE", M6="-"), "-", CamelCase(M6))</f>
        <v>-</v>
      </c>
      <c r="AD6" s="19" t="str" cm="1">
        <f t="array" ref="AD6">IF(OR(N6="IN USE", N6="-"), "-", CamelCase(N6))</f>
        <v>-</v>
      </c>
      <c r="AE6" s="19" t="str" cm="1">
        <f t="array" ref="AE6">IF(OR(O6="IN USE", O6="-"), "-", CamelCase(O6))</f>
        <v>-</v>
      </c>
    </row>
    <row r="7" spans="1:31" x14ac:dyDescent="0.3">
      <c r="A7" s="2" t="s">
        <v>47</v>
      </c>
      <c r="B7" s="2" t="s">
        <v>166</v>
      </c>
      <c r="C7" s="2" t="s">
        <v>48</v>
      </c>
      <c r="D7" s="1">
        <v>2</v>
      </c>
      <c r="E7" s="1" t="s">
        <v>165</v>
      </c>
      <c r="F7" s="1">
        <f t="shared" ref="F7:F30" si="3">HEX2DEC(RIGHT(E7,LEN(E7)-2))</f>
        <v>273</v>
      </c>
      <c r="G7" s="1">
        <v>8</v>
      </c>
      <c r="H7" s="2" t="s">
        <v>193</v>
      </c>
      <c r="I7" s="2" t="s">
        <v>194</v>
      </c>
      <c r="J7" s="2" t="s">
        <v>195</v>
      </c>
      <c r="K7" s="2" t="s">
        <v>196</v>
      </c>
      <c r="L7" s="2" t="s">
        <v>197</v>
      </c>
      <c r="M7" s="2" t="s">
        <v>243</v>
      </c>
      <c r="N7" s="2" t="s">
        <v>244</v>
      </c>
      <c r="O7" s="2" t="s">
        <v>245</v>
      </c>
      <c r="P7" s="3">
        <f t="shared" si="1"/>
        <v>0.5</v>
      </c>
      <c r="Q7" s="3">
        <f t="shared" si="2"/>
        <v>4</v>
      </c>
      <c r="R7" s="15" t="s">
        <v>254</v>
      </c>
      <c r="S7" s="18" t="str" cm="1">
        <f t="array" ref="S7">structUnpackCode(R7)</f>
        <v>&lt;BBBBBBBB</v>
      </c>
      <c r="T7" s="18" t="str" cm="1">
        <f t="array" ref="T7">CStruct(R7,X7:AE7,G7)</f>
        <v>struct canData {_x000D_
	uint8_t Power;_x000D_
	uint8_t WritingToSd;_x000D_
	uint8_t GpsTimeObtained;_x000D_
	uint8_t LoadedConfig;_x000D_
	uint8_t Flag;_x000D_
	uint8_t Spare;_x000D_
	uint8_t Spare;_x000D_
	uint8_t Spare;_x000D_
}</v>
      </c>
      <c r="U7" s="18"/>
      <c r="V7" s="19" t="str" cm="1">
        <f t="array" ref="V7">CamelCase(B7)</f>
        <v>SystemStatusMessages</v>
      </c>
      <c r="W7" s="19" t="str" cm="1">
        <f t="array" ref="W7">CamelCase(C7)</f>
        <v>Telemetry</v>
      </c>
      <c r="X7" s="19" t="str" cm="1">
        <f t="array" ref="X7">IF(OR(H7="IN USE", H7="-"), "-", CamelCase(H7))</f>
        <v>Power</v>
      </c>
      <c r="Y7" s="19" t="str" cm="1">
        <f t="array" ref="Y7">IF(OR(I7="IN USE", I7="-"), "-", CamelCase(I7))</f>
        <v>WritingToSd</v>
      </c>
      <c r="Z7" s="19" t="str" cm="1">
        <f t="array" ref="Z7">IF(OR(J7="IN USE", J7="-"), "-", CamelCase(J7))</f>
        <v>GpsTimeObtained</v>
      </c>
      <c r="AA7" s="19" t="str" cm="1">
        <f t="array" ref="AA7">IF(OR(K7="IN USE", K7="-"), "-", CamelCase(K7))</f>
        <v>LoadedConfig</v>
      </c>
      <c r="AB7" s="19" t="str" cm="1">
        <f t="array" ref="AB7">IF(OR(L7="IN USE", L7="-"), "-", CamelCase(L7))</f>
        <v>Flag</v>
      </c>
      <c r="AC7" s="19" t="str" cm="1">
        <f t="array" ref="AC7">IF(OR(M7="IN USE", M7="-"), "-", CamelCase(M7))</f>
        <v>Spare</v>
      </c>
      <c r="AD7" s="19" t="str" cm="1">
        <f t="array" ref="AD7">IF(OR(N7="IN USE", N7="-"), "-", CamelCase(N7))</f>
        <v>Spare</v>
      </c>
      <c r="AE7" s="19" t="str" cm="1">
        <f t="array" ref="AE7">IF(OR(O7="IN USE", O7="-"), "-", CamelCase(O7))</f>
        <v>Spare</v>
      </c>
    </row>
    <row r="8" spans="1:31" x14ac:dyDescent="0.3">
      <c r="A8" s="2" t="s">
        <v>47</v>
      </c>
      <c r="B8" s="12" t="s">
        <v>200</v>
      </c>
      <c r="C8" s="2" t="s">
        <v>167</v>
      </c>
      <c r="E8" s="1" t="s">
        <v>172</v>
      </c>
      <c r="F8" s="1">
        <f t="shared" si="3"/>
        <v>433</v>
      </c>
      <c r="G8" s="1">
        <v>8</v>
      </c>
      <c r="H8" s="2" t="s">
        <v>168</v>
      </c>
      <c r="I8" s="2" t="s">
        <v>33</v>
      </c>
      <c r="J8" s="2" t="s">
        <v>33</v>
      </c>
      <c r="K8" s="2" t="s">
        <v>33</v>
      </c>
      <c r="L8" s="2" t="s">
        <v>169</v>
      </c>
      <c r="M8" s="2" t="s">
        <v>33</v>
      </c>
      <c r="N8" s="2" t="s">
        <v>33</v>
      </c>
      <c r="O8" s="2" t="s">
        <v>33</v>
      </c>
      <c r="P8" s="3" t="str">
        <f t="shared" si="1"/>
        <v/>
      </c>
      <c r="Q8" s="3" t="str">
        <f t="shared" si="2"/>
        <v/>
      </c>
      <c r="R8" s="7" t="s">
        <v>237</v>
      </c>
      <c r="S8" s="18" t="str" cm="1">
        <f t="array" ref="S8">structUnpackCode(R8)</f>
        <v>&lt;ff</v>
      </c>
      <c r="T8" s="18" t="str" cm="1">
        <f t="array" ref="T8">CStruct(R8,X8:AE8,G8)</f>
        <v>struct canData {_x000D_
	float TempDegC;_x000D_
	float Humidity;_x000D_
}</v>
      </c>
      <c r="U8" s="18"/>
      <c r="V8" s="19" t="str" cm="1">
        <f t="array" ref="V8">CamelCase(B8)</f>
        <v>TestbedEnvirocanIno</v>
      </c>
      <c r="W8" s="19" t="str" cm="1">
        <f t="array" ref="W8">CamelCase(C8)</f>
        <v>Testbed</v>
      </c>
      <c r="X8" s="19" t="str" cm="1">
        <f t="array" ref="X8">IF(OR(H8="IN USE", H8="-"), "-", CamelCase(H8))</f>
        <v>TempDegC</v>
      </c>
      <c r="Y8" s="19" t="str" cm="1">
        <f t="array" ref="Y8">IF(OR(I8="IN USE", I8="-"), "-", CamelCase(I8))</f>
        <v>-</v>
      </c>
      <c r="Z8" s="19" t="str" cm="1">
        <f t="array" ref="Z8">IF(OR(J8="IN USE", J8="-"), "-", CamelCase(J8))</f>
        <v>-</v>
      </c>
      <c r="AA8" s="19" t="str" cm="1">
        <f t="array" ref="AA8">IF(OR(K8="IN USE", K8="-"), "-", CamelCase(K8))</f>
        <v>-</v>
      </c>
      <c r="AB8" s="19" t="str" cm="1">
        <f t="array" ref="AB8">IF(OR(L8="IN USE", L8="-"), "-", CamelCase(L8))</f>
        <v>Humidity</v>
      </c>
      <c r="AC8" s="19" t="str" cm="1">
        <f t="array" ref="AC8">IF(OR(M8="IN USE", M8="-"), "-", CamelCase(M8))</f>
        <v>-</v>
      </c>
      <c r="AD8" s="19" t="str" cm="1">
        <f t="array" ref="AD8">IF(OR(N8="IN USE", N8="-"), "-", CamelCase(N8))</f>
        <v>-</v>
      </c>
      <c r="AE8" s="19" t="str" cm="1">
        <f t="array" ref="AE8">IF(OR(O8="IN USE", O8="-"), "-", CamelCase(O8))</f>
        <v>-</v>
      </c>
    </row>
    <row r="9" spans="1:31" x14ac:dyDescent="0.3">
      <c r="A9" s="2" t="s">
        <v>47</v>
      </c>
      <c r="B9" s="12" t="s">
        <v>201</v>
      </c>
      <c r="C9" s="2" t="s">
        <v>167</v>
      </c>
      <c r="E9" s="1" t="s">
        <v>173</v>
      </c>
      <c r="F9" s="1">
        <f t="shared" si="3"/>
        <v>434</v>
      </c>
      <c r="G9" s="1">
        <v>8</v>
      </c>
      <c r="H9" s="2" t="s">
        <v>171</v>
      </c>
      <c r="I9" s="2" t="s">
        <v>33</v>
      </c>
      <c r="J9" s="2" t="s">
        <v>33</v>
      </c>
      <c r="K9" s="2" t="s">
        <v>33</v>
      </c>
      <c r="L9" s="2" t="s">
        <v>170</v>
      </c>
      <c r="M9" s="2" t="s">
        <v>33</v>
      </c>
      <c r="N9" s="2" t="s">
        <v>33</v>
      </c>
      <c r="O9" s="2" t="s">
        <v>33</v>
      </c>
      <c r="P9" s="3" t="str">
        <f t="shared" si="1"/>
        <v/>
      </c>
      <c r="Q9" s="3" t="str">
        <f t="shared" si="2"/>
        <v/>
      </c>
      <c r="R9" s="7" t="s">
        <v>240</v>
      </c>
      <c r="S9" s="18" t="str" cm="1">
        <f t="array" ref="S9">structUnpackCode(R9)</f>
        <v>&lt;fi</v>
      </c>
      <c r="T9" s="18" t="str" cm="1">
        <f t="array" ref="T9">CStruct(R9,X9:AE9,G9)</f>
        <v>struct canData {_x000D_
	float HeatIndexDegC;_x000D_
	int32_t LdrReading;_x000D_
}</v>
      </c>
      <c r="U9" s="18"/>
      <c r="V9" s="19" t="str" cm="1">
        <f t="array" ref="V9">CamelCase(B9)</f>
        <v>TestbedEnvirocanIno</v>
      </c>
      <c r="W9" s="19" t="str" cm="1">
        <f t="array" ref="W9">CamelCase(C9)</f>
        <v>Testbed</v>
      </c>
      <c r="X9" s="19" t="str" cm="1">
        <f t="array" ref="X9">IF(OR(H9="IN USE", H9="-"), "-", CamelCase(H9))</f>
        <v>HeatIndexDegC</v>
      </c>
      <c r="Y9" s="19" t="str" cm="1">
        <f t="array" ref="Y9">IF(OR(I9="IN USE", I9="-"), "-", CamelCase(I9))</f>
        <v>-</v>
      </c>
      <c r="Z9" s="19" t="str" cm="1">
        <f t="array" ref="Z9">IF(OR(J9="IN USE", J9="-"), "-", CamelCase(J9))</f>
        <v>-</v>
      </c>
      <c r="AA9" s="19" t="str" cm="1">
        <f t="array" ref="AA9">IF(OR(K9="IN USE", K9="-"), "-", CamelCase(K9))</f>
        <v>-</v>
      </c>
      <c r="AB9" s="19" t="str" cm="1">
        <f t="array" ref="AB9">IF(OR(L9="IN USE", L9="-"), "-", CamelCase(L9))</f>
        <v>LdrReading</v>
      </c>
      <c r="AC9" s="19" t="str" cm="1">
        <f t="array" ref="AC9">IF(OR(M9="IN USE", M9="-"), "-", CamelCase(M9))</f>
        <v>-</v>
      </c>
      <c r="AD9" s="19" t="str" cm="1">
        <f t="array" ref="AD9">IF(OR(N9="IN USE", N9="-"), "-", CamelCase(N9))</f>
        <v>-</v>
      </c>
      <c r="AE9" s="19" t="str" cm="1">
        <f t="array" ref="AE9">IF(OR(O9="IN USE", O9="-"), "-", CamelCase(O9))</f>
        <v>-</v>
      </c>
    </row>
    <row r="10" spans="1:31" x14ac:dyDescent="0.3">
      <c r="A10" s="2" t="s">
        <v>47</v>
      </c>
      <c r="B10" s="2" t="s">
        <v>56</v>
      </c>
      <c r="C10" s="2" t="s">
        <v>16</v>
      </c>
      <c r="D10" s="1">
        <v>0.1</v>
      </c>
      <c r="E10" s="1" t="s">
        <v>54</v>
      </c>
      <c r="F10" s="1">
        <f t="shared" si="3"/>
        <v>1281</v>
      </c>
      <c r="G10" s="1">
        <v>8</v>
      </c>
      <c r="H10" s="2" t="s">
        <v>191</v>
      </c>
      <c r="I10" s="2" t="s">
        <v>33</v>
      </c>
      <c r="J10" s="2" t="s">
        <v>33</v>
      </c>
      <c r="K10" s="2" t="s">
        <v>33</v>
      </c>
      <c r="L10" s="2" t="s">
        <v>192</v>
      </c>
      <c r="M10" s="2" t="s">
        <v>33</v>
      </c>
      <c r="N10" s="2" t="s">
        <v>33</v>
      </c>
      <c r="O10" s="2" t="s">
        <v>33</v>
      </c>
      <c r="P10" s="3">
        <f t="shared" ref="P10:P30" si="4">IF(ISBLANK(D10),"",1/D10)</f>
        <v>10</v>
      </c>
      <c r="Q10" s="3">
        <f t="shared" ref="Q10:Q30" si="5">IF(ISBLANK(D10),"",G10/D10)</f>
        <v>80</v>
      </c>
      <c r="R10" s="7" t="s">
        <v>237</v>
      </c>
      <c r="S10" s="18" t="str" cm="1">
        <f t="array" ref="S10">structUnpackCode(R10)</f>
        <v>&lt;ff</v>
      </c>
      <c r="T10" s="18" t="str" cm="1">
        <f t="array" ref="T10">CStruct(R10,X10:AE10,G10)</f>
        <v>struct canData {_x000D_
	float DriverSetSpeed;_x000D_
	float DriverSetCurrent;_x000D_
}</v>
      </c>
      <c r="U10" s="18"/>
      <c r="V10" s="19" t="str" cm="1">
        <f t="array" ref="V10">CamelCase(B10)</f>
        <v>SpeedValCurrVal</v>
      </c>
      <c r="W10" s="19" t="str" cm="1">
        <f t="array" ref="W10">CamelCase(C10)</f>
        <v>DriverControls</v>
      </c>
      <c r="X10" s="19" t="str" cm="1">
        <f t="array" ref="X10">IF(OR(H10="IN USE", H10="-"), "-", CamelCase(H10))</f>
        <v>DriverSetSpeed</v>
      </c>
      <c r="Y10" s="19" t="str" cm="1">
        <f t="array" ref="Y10">IF(OR(I10="IN USE", I10="-"), "-", CamelCase(I10))</f>
        <v>-</v>
      </c>
      <c r="Z10" s="19" t="str" cm="1">
        <f t="array" ref="Z10">IF(OR(J10="IN USE", J10="-"), "-", CamelCase(J10))</f>
        <v>-</v>
      </c>
      <c r="AA10" s="19" t="str" cm="1">
        <f t="array" ref="AA10">IF(OR(K10="IN USE", K10="-"), "-", CamelCase(K10))</f>
        <v>-</v>
      </c>
      <c r="AB10" s="19" t="str" cm="1">
        <f t="array" ref="AB10">IF(OR(L10="IN USE", L10="-"), "-", CamelCase(L10))</f>
        <v>DriverSetCurrent</v>
      </c>
      <c r="AC10" s="19" t="str" cm="1">
        <f t="array" ref="AC10">IF(OR(M10="IN USE", M10="-"), "-", CamelCase(M10))</f>
        <v>-</v>
      </c>
      <c r="AD10" s="19" t="str" cm="1">
        <f t="array" ref="AD10">IF(OR(N10="IN USE", N10="-"), "-", CamelCase(N10))</f>
        <v>-</v>
      </c>
      <c r="AE10" s="19" t="str" cm="1">
        <f t="array" ref="AE10">IF(OR(O10="IN USE", O10="-"), "-", CamelCase(O10))</f>
        <v>-</v>
      </c>
    </row>
    <row r="11" spans="1:31" x14ac:dyDescent="0.3">
      <c r="A11" s="2" t="s">
        <v>49</v>
      </c>
      <c r="B11" s="2" t="s">
        <v>57</v>
      </c>
      <c r="C11" s="2" t="s">
        <v>16</v>
      </c>
      <c r="D11" s="1">
        <v>0.5</v>
      </c>
      <c r="E11" s="1" t="s">
        <v>55</v>
      </c>
      <c r="F11" s="1">
        <f t="shared" si="3"/>
        <v>1282</v>
      </c>
      <c r="G11" s="1">
        <v>8</v>
      </c>
      <c r="H11" t="s">
        <v>293</v>
      </c>
      <c r="I11" s="2" t="s">
        <v>42</v>
      </c>
      <c r="J11" s="2" t="s">
        <v>42</v>
      </c>
      <c r="K11" s="2" t="s">
        <v>42</v>
      </c>
      <c r="L11" s="2" t="s">
        <v>292</v>
      </c>
      <c r="M11" s="2" t="s">
        <v>33</v>
      </c>
      <c r="N11" s="2" t="s">
        <v>33</v>
      </c>
      <c r="O11" s="2" t="s">
        <v>33</v>
      </c>
      <c r="P11" s="3">
        <f t="shared" si="4"/>
        <v>2</v>
      </c>
      <c r="Q11" s="3">
        <f t="shared" si="5"/>
        <v>16</v>
      </c>
      <c r="R11" s="7" t="s">
        <v>237</v>
      </c>
      <c r="S11" s="18" t="str" cm="1">
        <f t="array" ref="S11">structUnpackCode(R11)</f>
        <v>&lt;ff</v>
      </c>
      <c r="T11" s="18" t="str" cm="1">
        <f t="array" ref="T11">CStruct(R11,X11:AE11,G11)</f>
        <v>struct canData {_x000D_
	float Zero;_x000D_
	float MaxBusCurrent;_x000D_
}</v>
      </c>
      <c r="U11" s="18"/>
      <c r="V11" s="19" t="str" cm="1">
        <f t="array" ref="V11">CamelCase(B11)</f>
        <v>Maxbuscurrent</v>
      </c>
      <c r="W11" s="19" t="str" cm="1">
        <f t="array" ref="W11">CamelCase(C11)</f>
        <v>DriverControls</v>
      </c>
      <c r="X11" s="19" t="str" cm="1">
        <f t="array" ref="X11">IF(OR(H11="IN USE", H11="-"), "-", CamelCase(H11))</f>
        <v>Zero</v>
      </c>
      <c r="Y11" s="19" t="str" cm="1">
        <f t="array" ref="Y11">IF(OR(I11="IN USE", I11="-"), "-", CamelCase(I11))</f>
        <v>-</v>
      </c>
      <c r="Z11" s="19" t="str" cm="1">
        <f t="array" ref="Z11">IF(OR(J11="IN USE", J11="-"), "-", CamelCase(J11))</f>
        <v>-</v>
      </c>
      <c r="AA11" s="19" t="str" cm="1">
        <f t="array" ref="AA11">IF(OR(K11="IN USE", K11="-"), "-", CamelCase(K11))</f>
        <v>-</v>
      </c>
      <c r="AB11" s="19" t="str" cm="1">
        <f t="array" ref="AB11">IF(OR(L11="IN USE", L11="-"), "-", CamelCase(L11))</f>
        <v>MaxBusCurrent</v>
      </c>
      <c r="AC11" s="19" t="str" cm="1">
        <f t="array" ref="AC11">IF(OR(M11="IN USE", M11="-"), "-", CamelCase(M11))</f>
        <v>-</v>
      </c>
      <c r="AD11" s="19" t="str" cm="1">
        <f t="array" ref="AD11">IF(OR(N11="IN USE", N11="-"), "-", CamelCase(N11))</f>
        <v>-</v>
      </c>
      <c r="AE11" s="19" t="str" cm="1">
        <f t="array" ref="AE11">IF(OR(O11="IN USE", O11="-"), "-", CamelCase(O11))</f>
        <v>-</v>
      </c>
    </row>
    <row r="12" spans="1:31" x14ac:dyDescent="0.3">
      <c r="A12" s="2" t="s">
        <v>49</v>
      </c>
      <c r="B12" s="2" t="s">
        <v>72</v>
      </c>
      <c r="C12" s="2" t="s">
        <v>17</v>
      </c>
      <c r="D12" s="1">
        <v>1</v>
      </c>
      <c r="E12" s="1" t="s">
        <v>58</v>
      </c>
      <c r="F12" s="1">
        <f t="shared" si="3"/>
        <v>1536</v>
      </c>
      <c r="G12" s="1">
        <v>8</v>
      </c>
      <c r="H12" s="2" t="s">
        <v>176</v>
      </c>
      <c r="I12" s="2" t="s">
        <v>33</v>
      </c>
      <c r="J12" s="2" t="s">
        <v>33</v>
      </c>
      <c r="K12" s="2" t="s">
        <v>33</v>
      </c>
      <c r="L12" s="2" t="s">
        <v>181</v>
      </c>
      <c r="M12" s="2" t="s">
        <v>33</v>
      </c>
      <c r="N12" s="2" t="s">
        <v>33</v>
      </c>
      <c r="O12" s="2" t="s">
        <v>33</v>
      </c>
      <c r="P12" s="3">
        <f t="shared" si="4"/>
        <v>1</v>
      </c>
      <c r="Q12" s="3">
        <f t="shared" si="5"/>
        <v>8</v>
      </c>
      <c r="R12" s="8" t="s">
        <v>272</v>
      </c>
      <c r="S12" s="18" t="str" cm="1">
        <f t="array" ref="S12">structUnpackCode(R12)</f>
        <v>&lt;II</v>
      </c>
      <c r="T12" s="18" t="str" cm="1">
        <f t="array" ref="T12">CStruct(R12,X12:AE12,G12)</f>
        <v>struct canData {_x000D_
	uint32_t TritiumId;_x000D_
	uint32_t SerialNumber;_x000D_
}</v>
      </c>
      <c r="U12" s="18"/>
      <c r="V12" s="19" t="str" cm="1">
        <f t="array" ref="V12">CamelCase(B12)</f>
        <v>IdentificationInfo</v>
      </c>
      <c r="W12" s="19" t="str" cm="1">
        <f t="array" ref="W12">CamelCase(C12)</f>
        <v>Tritium</v>
      </c>
      <c r="X12" s="19" t="str" cm="1">
        <f t="array" ref="X12">IF(OR(H12="IN USE", H12="-"), "-", CamelCase(H12))</f>
        <v>TritiumId</v>
      </c>
      <c r="Y12" s="19" t="str" cm="1">
        <f t="array" ref="Y12">IF(OR(I12="IN USE", I12="-"), "-", CamelCase(I12))</f>
        <v>-</v>
      </c>
      <c r="Z12" s="19" t="str" cm="1">
        <f t="array" ref="Z12">IF(OR(J12="IN USE", J12="-"), "-", CamelCase(J12))</f>
        <v>-</v>
      </c>
      <c r="AA12" s="19" t="str" cm="1">
        <f t="array" ref="AA12">IF(OR(K12="IN USE", K12="-"), "-", CamelCase(K12))</f>
        <v>-</v>
      </c>
      <c r="AB12" s="19" t="str" cm="1">
        <f t="array" ref="AB12">IF(OR(L12="IN USE", L12="-"), "-", CamelCase(L12))</f>
        <v>SerialNumber</v>
      </c>
      <c r="AC12" s="19" t="str" cm="1">
        <f t="array" ref="AC12">IF(OR(M12="IN USE", M12="-"), "-", CamelCase(M12))</f>
        <v>-</v>
      </c>
      <c r="AD12" s="19" t="str" cm="1">
        <f t="array" ref="AD12">IF(OR(N12="IN USE", N12="-"), "-", CamelCase(N12))</f>
        <v>-</v>
      </c>
      <c r="AE12" s="19" t="str" cm="1">
        <f t="array" ref="AE12">IF(OR(O12="IN USE", O12="-"), "-", CamelCase(O12))</f>
        <v>-</v>
      </c>
    </row>
    <row r="13" spans="1:31" x14ac:dyDescent="0.3">
      <c r="A13" s="2" t="s">
        <v>47</v>
      </c>
      <c r="B13" s="2" t="s">
        <v>73</v>
      </c>
      <c r="C13" s="2" t="s">
        <v>17</v>
      </c>
      <c r="D13" s="1">
        <v>0.2</v>
      </c>
      <c r="E13" s="1" t="s">
        <v>59</v>
      </c>
      <c r="F13" s="1">
        <f t="shared" si="3"/>
        <v>1537</v>
      </c>
      <c r="G13" s="1">
        <v>8</v>
      </c>
      <c r="H13" s="2" t="s">
        <v>180</v>
      </c>
      <c r="I13" s="2" t="s">
        <v>33</v>
      </c>
      <c r="J13" s="2" t="s">
        <v>179</v>
      </c>
      <c r="K13" s="2" t="s">
        <v>33</v>
      </c>
      <c r="L13" s="2" t="s">
        <v>178</v>
      </c>
      <c r="M13" s="2" t="s">
        <v>33</v>
      </c>
      <c r="N13" s="2" t="s">
        <v>307</v>
      </c>
      <c r="O13" s="2" t="s">
        <v>308</v>
      </c>
      <c r="P13" s="3">
        <f t="shared" si="4"/>
        <v>5</v>
      </c>
      <c r="Q13" s="3">
        <f t="shared" si="5"/>
        <v>40</v>
      </c>
      <c r="R13" s="8" t="s">
        <v>309</v>
      </c>
      <c r="S13" s="18" t="str" cm="1">
        <f t="array" ref="S13">structUnpackCode(R13)</f>
        <v>&lt;HHHBB</v>
      </c>
      <c r="T13" s="18" t="str" cm="1">
        <f t="array" ref="T13">CStruct(R13,X13:AE13,G13)</f>
        <v>struct canData {_x000D_
	uint16_t LimitFlags;_x000D_
	uint16_t ErrorFlags;_x000D_
	uint16_t ActiveMotor;_x000D_
	uint8_t TransmitErrorCount;_x000D_
	uint8_t ReceiveErrorCount;_x000D_
}</v>
      </c>
      <c r="U13" s="18"/>
      <c r="V13" s="19" t="str" cm="1">
        <f t="array" ref="V13">CamelCase(B13)</f>
        <v>StausInformation</v>
      </c>
      <c r="W13" s="19" t="str" cm="1">
        <f t="array" ref="W13">CamelCase(C13)</f>
        <v>Tritium</v>
      </c>
      <c r="X13" s="19" t="str" cm="1">
        <f t="array" ref="X13">IF(OR(H13="IN USE", H13="-"), "-", CamelCase(H13))</f>
        <v>LimitFlags</v>
      </c>
      <c r="Y13" s="19" t="str" cm="1">
        <f t="array" ref="Y13">IF(OR(I13="IN USE", I13="-"), "-", CamelCase(I13))</f>
        <v>-</v>
      </c>
      <c r="Z13" s="19" t="str" cm="1">
        <f t="array" ref="Z13">IF(OR(J13="IN USE", J13="-"), "-", CamelCase(J13))</f>
        <v>ErrorFlags</v>
      </c>
      <c r="AA13" s="19" t="str" cm="1">
        <f t="array" ref="AA13">IF(OR(K13="IN USE", K13="-"), "-", CamelCase(K13))</f>
        <v>-</v>
      </c>
      <c r="AB13" s="19" t="str" cm="1">
        <f t="array" ref="AB13">IF(OR(L13="IN USE", L13="-"), "-", CamelCase(L13))</f>
        <v>ActiveMotor</v>
      </c>
      <c r="AC13" s="19" t="str" cm="1">
        <f t="array" ref="AC13">IF(OR(M13="IN USE", M13="-"), "-", CamelCase(M13))</f>
        <v>-</v>
      </c>
      <c r="AD13" s="19" t="str" cm="1">
        <f t="array" ref="AD13">IF(OR(N13="IN USE", N13="-"), "-", CamelCase(N13))</f>
        <v>TransmitErrorCount</v>
      </c>
      <c r="AE13" s="19" t="str" cm="1">
        <f t="array" ref="AE13">IF(OR(O13="IN USE", O13="-"), "-", CamelCase(O13))</f>
        <v>ReceiveErrorCount</v>
      </c>
    </row>
    <row r="14" spans="1:31" x14ac:dyDescent="0.3">
      <c r="A14" s="2" t="s">
        <v>47</v>
      </c>
      <c r="B14" s="2" t="s">
        <v>182</v>
      </c>
      <c r="C14" s="2" t="s">
        <v>17</v>
      </c>
      <c r="D14" s="1">
        <v>0.2</v>
      </c>
      <c r="E14" s="1" t="s">
        <v>60</v>
      </c>
      <c r="F14" s="1">
        <f t="shared" si="3"/>
        <v>1538</v>
      </c>
      <c r="G14" s="1">
        <v>8</v>
      </c>
      <c r="H14" s="2" t="s">
        <v>291</v>
      </c>
      <c r="I14" s="2" t="s">
        <v>33</v>
      </c>
      <c r="J14" s="2" t="s">
        <v>33</v>
      </c>
      <c r="K14" s="2" t="s">
        <v>33</v>
      </c>
      <c r="L14" s="2" t="s">
        <v>278</v>
      </c>
      <c r="M14" s="2" t="s">
        <v>33</v>
      </c>
      <c r="N14" s="2" t="s">
        <v>33</v>
      </c>
      <c r="O14" s="2" t="s">
        <v>33</v>
      </c>
      <c r="P14" s="3">
        <f t="shared" si="4"/>
        <v>5</v>
      </c>
      <c r="Q14" s="3">
        <f t="shared" si="5"/>
        <v>40</v>
      </c>
      <c r="R14" s="7" t="s">
        <v>237</v>
      </c>
      <c r="S14" s="18" t="str" cm="1">
        <f t="array" ref="S14">structUnpackCode(R14)</f>
        <v>&lt;ff</v>
      </c>
      <c r="T14" s="18" t="str" cm="1">
        <f t="array" ref="T14">CStruct(R14,X14:AE14,G14)</f>
        <v>struct canData {_x000D_
	float BusVoltage;_x000D_
	float BusCurrent;_x000D_
}</v>
      </c>
      <c r="U14" s="18"/>
      <c r="V14" s="19" t="str" cm="1">
        <f t="array" ref="V14">CamelCase(B14)</f>
        <v>BusMeasurement</v>
      </c>
      <c r="W14" s="19" t="str" cm="1">
        <f t="array" ref="W14">CamelCase(C14)</f>
        <v>Tritium</v>
      </c>
      <c r="X14" s="19" t="str" cm="1">
        <f t="array" ref="X14">IF(OR(H14="IN USE", H14="-"), "-", CamelCase(H14))</f>
        <v>BusVoltage</v>
      </c>
      <c r="Y14" s="19" t="str" cm="1">
        <f t="array" ref="Y14">IF(OR(I14="IN USE", I14="-"), "-", CamelCase(I14))</f>
        <v>-</v>
      </c>
      <c r="Z14" s="19" t="str" cm="1">
        <f t="array" ref="Z14">IF(OR(J14="IN USE", J14="-"), "-", CamelCase(J14))</f>
        <v>-</v>
      </c>
      <c r="AA14" s="19" t="str" cm="1">
        <f t="array" ref="AA14">IF(OR(K14="IN USE", K14="-"), "-", CamelCase(K14))</f>
        <v>-</v>
      </c>
      <c r="AB14" s="19" t="str" cm="1">
        <f t="array" ref="AB14">IF(OR(L14="IN USE", L14="-"), "-", CamelCase(L14))</f>
        <v>BusCurrent</v>
      </c>
      <c r="AC14" s="19" t="str" cm="1">
        <f t="array" ref="AC14">IF(OR(M14="IN USE", M14="-"), "-", CamelCase(M14))</f>
        <v>-</v>
      </c>
      <c r="AD14" s="19" t="str" cm="1">
        <f t="array" ref="AD14">IF(OR(N14="IN USE", N14="-"), "-", CamelCase(N14))</f>
        <v>-</v>
      </c>
      <c r="AE14" s="19" t="str" cm="1">
        <f t="array" ref="AE14">IF(OR(O14="IN USE", O14="-"), "-", CamelCase(O14))</f>
        <v>-</v>
      </c>
    </row>
    <row r="15" spans="1:31" x14ac:dyDescent="0.3">
      <c r="A15" s="2" t="s">
        <v>47</v>
      </c>
      <c r="B15" s="2" t="s">
        <v>310</v>
      </c>
      <c r="C15" s="2" t="s">
        <v>17</v>
      </c>
      <c r="D15" s="1">
        <v>0.2</v>
      </c>
      <c r="E15" s="1" t="s">
        <v>53</v>
      </c>
      <c r="F15" s="1">
        <f t="shared" si="3"/>
        <v>1539</v>
      </c>
      <c r="G15" s="1">
        <v>8</v>
      </c>
      <c r="H15" s="2" t="s">
        <v>290</v>
      </c>
      <c r="I15" s="2" t="s">
        <v>33</v>
      </c>
      <c r="J15" s="2" t="s">
        <v>33</v>
      </c>
      <c r="K15" s="2" t="s">
        <v>33</v>
      </c>
      <c r="L15" s="2" t="s">
        <v>279</v>
      </c>
      <c r="M15" s="2" t="s">
        <v>33</v>
      </c>
      <c r="N15" s="2" t="s">
        <v>33</v>
      </c>
      <c r="O15" s="2" t="s">
        <v>33</v>
      </c>
      <c r="P15" s="3">
        <f t="shared" si="4"/>
        <v>5</v>
      </c>
      <c r="Q15" s="3">
        <f t="shared" si="5"/>
        <v>40</v>
      </c>
      <c r="R15" s="7" t="s">
        <v>237</v>
      </c>
      <c r="S15" s="18" t="str" cm="1">
        <f t="array" ref="S15">structUnpackCode(R15)</f>
        <v>&lt;ff</v>
      </c>
      <c r="T15" s="18" t="str" cm="1">
        <f t="array" ref="T15">CStruct(R15,X15:AE15,G15)</f>
        <v>struct canData {_x000D_
	float MotorVelocity;_x000D_
	float VehicleVelocity;_x000D_
}</v>
      </c>
      <c r="U15" s="18"/>
      <c r="V15" s="19" t="s">
        <v>275</v>
      </c>
      <c r="W15" s="19" t="str" cm="1">
        <f t="array" ref="W15">CamelCase(C15)</f>
        <v>Tritium</v>
      </c>
      <c r="X15" s="19" t="str" cm="1">
        <f t="array" ref="X15">IF(OR(H15="IN USE", H15="-"), "-", CamelCase(H15))</f>
        <v>MotorVelocity</v>
      </c>
      <c r="Y15" s="19" t="str" cm="1">
        <f t="array" ref="Y15">IF(OR(I15="IN USE", I15="-"), "-", CamelCase(I15))</f>
        <v>-</v>
      </c>
      <c r="Z15" s="19" t="str" cm="1">
        <f t="array" ref="Z15">IF(OR(J15="IN USE", J15="-"), "-", CamelCase(J15))</f>
        <v>-</v>
      </c>
      <c r="AA15" s="19" t="str" cm="1">
        <f t="array" ref="AA15">IF(OR(K15="IN USE", K15="-"), "-", CamelCase(K15))</f>
        <v>-</v>
      </c>
      <c r="AB15" s="19" t="str" cm="1">
        <f t="array" ref="AB15">IF(OR(L15="IN USE", L15="-"), "-", CamelCase(L15))</f>
        <v>VehicleVelocity</v>
      </c>
      <c r="AC15" s="19" t="str" cm="1">
        <f t="array" ref="AC15">IF(OR(M15="IN USE", M15="-"), "-", CamelCase(M15))</f>
        <v>-</v>
      </c>
      <c r="AD15" s="19" t="str" cm="1">
        <f t="array" ref="AD15">IF(OR(N15="IN USE", N15="-"), "-", CamelCase(N15))</f>
        <v>-</v>
      </c>
      <c r="AE15" s="19" t="str" cm="1">
        <f t="array" ref="AE15">IF(OR(O15="IN USE", O15="-"), "-", CamelCase(O15))</f>
        <v>-</v>
      </c>
    </row>
    <row r="16" spans="1:31" x14ac:dyDescent="0.3">
      <c r="A16" s="2" t="s">
        <v>47</v>
      </c>
      <c r="B16" s="2" t="s">
        <v>74</v>
      </c>
      <c r="C16" s="2" t="s">
        <v>17</v>
      </c>
      <c r="D16" s="1">
        <v>0.2</v>
      </c>
      <c r="E16" s="1" t="s">
        <v>61</v>
      </c>
      <c r="F16" s="1">
        <f t="shared" si="3"/>
        <v>1540</v>
      </c>
      <c r="G16" s="1">
        <v>8</v>
      </c>
      <c r="H16" s="2" t="s">
        <v>289</v>
      </c>
      <c r="I16" s="2" t="s">
        <v>33</v>
      </c>
      <c r="J16" s="2" t="s">
        <v>33</v>
      </c>
      <c r="K16" s="2" t="s">
        <v>33</v>
      </c>
      <c r="L16" s="2" t="s">
        <v>311</v>
      </c>
      <c r="M16" s="2" t="s">
        <v>33</v>
      </c>
      <c r="N16" s="2" t="s">
        <v>33</v>
      </c>
      <c r="O16" s="2" t="s">
        <v>33</v>
      </c>
      <c r="P16" s="3">
        <f t="shared" si="4"/>
        <v>5</v>
      </c>
      <c r="Q16" s="3">
        <f t="shared" si="5"/>
        <v>40</v>
      </c>
      <c r="R16" s="7" t="s">
        <v>237</v>
      </c>
      <c r="S16" s="18" t="str" cm="1">
        <f t="array" ref="S16">structUnpackCode(R16)</f>
        <v>&lt;ff</v>
      </c>
      <c r="T16" s="18" t="str" cm="1">
        <f t="array" ref="T16">CStruct(R16,X16:AE16,G16)</f>
        <v>struct canData {_x000D_
	float PhaseBCurrent;_x000D_
	float PhaseCCurrent;_x000D_
}</v>
      </c>
      <c r="U16" s="18"/>
      <c r="V16" s="19" t="str" cm="1">
        <f t="array" ref="V16">CamelCase(B16)</f>
        <v>PhaseCurrent</v>
      </c>
      <c r="W16" s="19" t="str" cm="1">
        <f t="array" ref="W16">CamelCase(C16)</f>
        <v>Tritium</v>
      </c>
      <c r="X16" s="19" t="str" cm="1">
        <f t="array" ref="X16">IF(OR(H16="IN USE", H16="-"), "-", CamelCase(H16))</f>
        <v>PhaseBCurrent</v>
      </c>
      <c r="Y16" s="19" t="str" cm="1">
        <f t="array" ref="Y16">IF(OR(I16="IN USE", I16="-"), "-", CamelCase(I16))</f>
        <v>-</v>
      </c>
      <c r="Z16" s="19" t="str" cm="1">
        <f t="array" ref="Z16">IF(OR(J16="IN USE", J16="-"), "-", CamelCase(J16))</f>
        <v>-</v>
      </c>
      <c r="AA16" s="19" t="str" cm="1">
        <f t="array" ref="AA16">IF(OR(K16="IN USE", K16="-"), "-", CamelCase(K16))</f>
        <v>-</v>
      </c>
      <c r="AB16" s="19" t="str" cm="1">
        <f t="array" ref="AB16">IF(OR(L16="IN USE", L16="-"), "-", CamelCase(L16))</f>
        <v>PhaseCCurrent</v>
      </c>
      <c r="AC16" s="19" t="str" cm="1">
        <f t="array" ref="AC16">IF(OR(M16="IN USE", M16="-"), "-", CamelCase(M16))</f>
        <v>-</v>
      </c>
      <c r="AD16" s="19" t="str" cm="1">
        <f t="array" ref="AD16">IF(OR(N16="IN USE", N16="-"), "-", CamelCase(N16))</f>
        <v>-</v>
      </c>
      <c r="AE16" s="19" t="str" cm="1">
        <f t="array" ref="AE16">IF(OR(O16="IN USE", O16="-"), "-", CamelCase(O16))</f>
        <v>-</v>
      </c>
    </row>
    <row r="17" spans="1:31" x14ac:dyDescent="0.3">
      <c r="A17" s="2" t="s">
        <v>47</v>
      </c>
      <c r="B17" s="2" t="s">
        <v>75</v>
      </c>
      <c r="C17" s="2" t="s">
        <v>17</v>
      </c>
      <c r="D17" s="1">
        <v>0.2</v>
      </c>
      <c r="E17" s="1" t="s">
        <v>62</v>
      </c>
      <c r="F17" s="1">
        <f t="shared" si="3"/>
        <v>1541</v>
      </c>
      <c r="G17" s="1">
        <v>8</v>
      </c>
      <c r="H17" s="2" t="s">
        <v>288</v>
      </c>
      <c r="I17" s="2" t="s">
        <v>33</v>
      </c>
      <c r="J17" s="2" t="s">
        <v>33</v>
      </c>
      <c r="K17" s="2" t="s">
        <v>33</v>
      </c>
      <c r="L17" s="2" t="s">
        <v>280</v>
      </c>
      <c r="M17" s="2" t="s">
        <v>33</v>
      </c>
      <c r="N17" s="2" t="s">
        <v>33</v>
      </c>
      <c r="O17" s="2" t="s">
        <v>33</v>
      </c>
      <c r="P17" s="3">
        <f t="shared" si="4"/>
        <v>5</v>
      </c>
      <c r="Q17" s="3">
        <f t="shared" si="5"/>
        <v>40</v>
      </c>
      <c r="R17" s="7" t="s">
        <v>237</v>
      </c>
      <c r="S17" s="18" t="str" cm="1">
        <f t="array" ref="S17">structUnpackCode(R17)</f>
        <v>&lt;ff</v>
      </c>
      <c r="T17" s="18" t="str" cm="1">
        <f t="array" ref="T17">CStruct(R17,X17:AE17,G17)</f>
        <v>struct canData {_x000D_
	float VectVoltImag;_x000D_
	float VectVoltReal;_x000D_
}</v>
      </c>
      <c r="U17" s="18"/>
      <c r="V17" s="19" t="str" cm="1">
        <f t="array" ref="V17">CamelCase(B17)</f>
        <v>MotorVoltageVector</v>
      </c>
      <c r="W17" s="19" t="str" cm="1">
        <f t="array" ref="W17">CamelCase(C17)</f>
        <v>Tritium</v>
      </c>
      <c r="X17" s="19" t="str" cm="1">
        <f t="array" ref="X17">IF(OR(H17="IN USE", H17="-"), "-", CamelCase(H17))</f>
        <v>VectVoltImag</v>
      </c>
      <c r="Y17" s="19" t="str" cm="1">
        <f t="array" ref="Y17">IF(OR(I17="IN USE", I17="-"), "-", CamelCase(I17))</f>
        <v>-</v>
      </c>
      <c r="Z17" s="19" t="str" cm="1">
        <f t="array" ref="Z17">IF(OR(J17="IN USE", J17="-"), "-", CamelCase(J17))</f>
        <v>-</v>
      </c>
      <c r="AA17" s="19" t="str" cm="1">
        <f t="array" ref="AA17">IF(OR(K17="IN USE", K17="-"), "-", CamelCase(K17))</f>
        <v>-</v>
      </c>
      <c r="AB17" s="19" t="str" cm="1">
        <f t="array" ref="AB17">IF(OR(L17="IN USE", L17="-"), "-", CamelCase(L17))</f>
        <v>VectVoltReal</v>
      </c>
      <c r="AC17" s="19" t="str" cm="1">
        <f t="array" ref="AC17">IF(OR(M17="IN USE", M17="-"), "-", CamelCase(M17))</f>
        <v>-</v>
      </c>
      <c r="AD17" s="19" t="str" cm="1">
        <f t="array" ref="AD17">IF(OR(N17="IN USE", N17="-"), "-", CamelCase(N17))</f>
        <v>-</v>
      </c>
      <c r="AE17" s="19" t="str" cm="1">
        <f t="array" ref="AE17">IF(OR(O17="IN USE", O17="-"), "-", CamelCase(O17))</f>
        <v>-</v>
      </c>
    </row>
    <row r="18" spans="1:31" x14ac:dyDescent="0.3">
      <c r="A18" s="2" t="s">
        <v>47</v>
      </c>
      <c r="B18" s="2" t="s">
        <v>76</v>
      </c>
      <c r="C18" s="2" t="s">
        <v>17</v>
      </c>
      <c r="D18" s="1">
        <v>0.2</v>
      </c>
      <c r="E18" s="1" t="s">
        <v>63</v>
      </c>
      <c r="F18" s="1">
        <f t="shared" si="3"/>
        <v>1542</v>
      </c>
      <c r="G18" s="1">
        <v>8</v>
      </c>
      <c r="H18" s="2" t="s">
        <v>287</v>
      </c>
      <c r="I18" s="2" t="s">
        <v>33</v>
      </c>
      <c r="J18" s="2" t="s">
        <v>33</v>
      </c>
      <c r="K18" s="2" t="s">
        <v>33</v>
      </c>
      <c r="L18" s="2" t="s">
        <v>281</v>
      </c>
      <c r="M18" s="2" t="s">
        <v>33</v>
      </c>
      <c r="N18" s="2" t="s">
        <v>33</v>
      </c>
      <c r="O18" s="2" t="s">
        <v>33</v>
      </c>
      <c r="P18" s="3">
        <f t="shared" si="4"/>
        <v>5</v>
      </c>
      <c r="Q18" s="3">
        <f t="shared" si="5"/>
        <v>40</v>
      </c>
      <c r="R18" s="7" t="s">
        <v>237</v>
      </c>
      <c r="S18" s="18" t="str" cm="1">
        <f t="array" ref="S18">structUnpackCode(R18)</f>
        <v>&lt;ff</v>
      </c>
      <c r="T18" s="18" t="str" cm="1">
        <f t="array" ref="T18">CStruct(R18,X18:AE18,G18)</f>
        <v>struct canData {_x000D_
	float VectCurrImag;_x000D_
	float VectCurrReal;_x000D_
}</v>
      </c>
      <c r="U18" s="18"/>
      <c r="V18" s="19" t="str" cm="1">
        <f t="array" ref="V18">CamelCase(B18)</f>
        <v>MotorCurrentVector</v>
      </c>
      <c r="W18" s="19" t="str" cm="1">
        <f t="array" ref="W18">CamelCase(C18)</f>
        <v>Tritium</v>
      </c>
      <c r="X18" s="19" t="str" cm="1">
        <f t="array" ref="X18">IF(OR(H18="IN USE", H18="-"), "-", CamelCase(H18))</f>
        <v>VectCurrImag</v>
      </c>
      <c r="Y18" s="19" t="str" cm="1">
        <f t="array" ref="Y18">IF(OR(I18="IN USE", I18="-"), "-", CamelCase(I18))</f>
        <v>-</v>
      </c>
      <c r="Z18" s="19" t="str" cm="1">
        <f t="array" ref="Z18">IF(OR(J18="IN USE", J18="-"), "-", CamelCase(J18))</f>
        <v>-</v>
      </c>
      <c r="AA18" s="19" t="str" cm="1">
        <f t="array" ref="AA18">IF(OR(K18="IN USE", K18="-"), "-", CamelCase(K18))</f>
        <v>-</v>
      </c>
      <c r="AB18" s="19" t="str" cm="1">
        <f t="array" ref="AB18">IF(OR(L18="IN USE", L18="-"), "-", CamelCase(L18))</f>
        <v>VectCurrReal</v>
      </c>
      <c r="AC18" s="19" t="str" cm="1">
        <f t="array" ref="AC18">IF(OR(M18="IN USE", M18="-"), "-", CamelCase(M18))</f>
        <v>-</v>
      </c>
      <c r="AD18" s="19" t="str" cm="1">
        <f t="array" ref="AD18">IF(OR(N18="IN USE", N18="-"), "-", CamelCase(N18))</f>
        <v>-</v>
      </c>
      <c r="AE18" s="19" t="str" cm="1">
        <f t="array" ref="AE18">IF(OR(O18="IN USE", O18="-"), "-", CamelCase(O18))</f>
        <v>-</v>
      </c>
    </row>
    <row r="19" spans="1:31" x14ac:dyDescent="0.3">
      <c r="A19" s="2" t="s">
        <v>47</v>
      </c>
      <c r="B19" s="2" t="s">
        <v>77</v>
      </c>
      <c r="C19" s="2" t="s">
        <v>17</v>
      </c>
      <c r="D19" s="1">
        <v>0.2</v>
      </c>
      <c r="E19" s="1" t="s">
        <v>64</v>
      </c>
      <c r="F19" s="1">
        <f t="shared" si="3"/>
        <v>1543</v>
      </c>
      <c r="G19" s="1">
        <v>8</v>
      </c>
      <c r="H19" s="2" t="s">
        <v>312</v>
      </c>
      <c r="I19" s="2" t="s">
        <v>33</v>
      </c>
      <c r="J19" s="2" t="s">
        <v>33</v>
      </c>
      <c r="K19" s="2" t="s">
        <v>33</v>
      </c>
      <c r="L19" s="2" t="s">
        <v>313</v>
      </c>
      <c r="M19" s="2" t="s">
        <v>33</v>
      </c>
      <c r="N19" s="2" t="s">
        <v>33</v>
      </c>
      <c r="O19" s="2" t="s">
        <v>33</v>
      </c>
      <c r="P19" s="3">
        <f t="shared" si="4"/>
        <v>5</v>
      </c>
      <c r="Q19" s="3">
        <f t="shared" si="5"/>
        <v>40</v>
      </c>
      <c r="R19" s="7" t="s">
        <v>237</v>
      </c>
      <c r="S19" s="18" t="str" cm="1">
        <f t="array" ref="S19">structUnpackCode(R19)</f>
        <v>&lt;ff</v>
      </c>
      <c r="T19" s="18" t="str" cm="1">
        <f t="array" ref="T19">CStruct(R19,X19:AE19,G19)</f>
        <v>struct canData {_x000D_
	float PeakBackEmfPhaseToNeutral;_x000D_
	float BackEmfD;_x000D_
}</v>
      </c>
      <c r="U19" s="18"/>
      <c r="V19" s="19" t="str" cm="1">
        <f t="array" ref="V19">CamelCase(B19)</f>
        <v>MotorBackemfVector</v>
      </c>
      <c r="W19" s="19" t="str" cm="1">
        <f t="array" ref="W19">CamelCase(C19)</f>
        <v>Tritium</v>
      </c>
      <c r="X19" s="19" t="str" cm="1">
        <f t="array" ref="X19">IF(OR(H19="IN USE", H19="-"), "-", CamelCase(H19))</f>
        <v>PeakBackEmfPhaseToNeutral</v>
      </c>
      <c r="Y19" s="19" t="str" cm="1">
        <f t="array" ref="Y19">IF(OR(I19="IN USE", I19="-"), "-", CamelCase(I19))</f>
        <v>-</v>
      </c>
      <c r="Z19" s="19" t="str" cm="1">
        <f t="array" ref="Z19">IF(OR(J19="IN USE", J19="-"), "-", CamelCase(J19))</f>
        <v>-</v>
      </c>
      <c r="AA19" s="19" t="str" cm="1">
        <f t="array" ref="AA19">IF(OR(K19="IN USE", K19="-"), "-", CamelCase(K19))</f>
        <v>-</v>
      </c>
      <c r="AB19" s="19" t="str" cm="1">
        <f t="array" ref="AB19">IF(OR(L19="IN USE", L19="-"), "-", CamelCase(L19))</f>
        <v>BackEmfD</v>
      </c>
      <c r="AC19" s="19" t="str" cm="1">
        <f t="array" ref="AC19">IF(OR(M19="IN USE", M19="-"), "-", CamelCase(M19))</f>
        <v>-</v>
      </c>
      <c r="AD19" s="19" t="str" cm="1">
        <f t="array" ref="AD19">IF(OR(N19="IN USE", N19="-"), "-", CamelCase(N19))</f>
        <v>-</v>
      </c>
      <c r="AE19" s="19" t="str" cm="1">
        <f t="array" ref="AE19">IF(OR(O19="IN USE", O19="-"), "-", CamelCase(O19))</f>
        <v>-</v>
      </c>
    </row>
    <row r="20" spans="1:31" x14ac:dyDescent="0.3">
      <c r="A20" s="2" t="s">
        <v>47</v>
      </c>
      <c r="B20" s="2" t="s">
        <v>314</v>
      </c>
      <c r="C20" s="2" t="s">
        <v>17</v>
      </c>
      <c r="D20" s="1">
        <v>1</v>
      </c>
      <c r="E20" s="1" t="s">
        <v>65</v>
      </c>
      <c r="F20" s="1">
        <f t="shared" si="3"/>
        <v>1544</v>
      </c>
      <c r="G20" s="1">
        <v>8</v>
      </c>
      <c r="H20" s="2" t="s">
        <v>177</v>
      </c>
      <c r="I20" s="2" t="s">
        <v>33</v>
      </c>
      <c r="J20" s="2" t="s">
        <v>33</v>
      </c>
      <c r="K20" s="2" t="s">
        <v>33</v>
      </c>
      <c r="L20" s="2" t="s">
        <v>282</v>
      </c>
      <c r="M20" s="2" t="s">
        <v>33</v>
      </c>
      <c r="N20" s="2" t="s">
        <v>33</v>
      </c>
      <c r="O20" s="2" t="s">
        <v>33</v>
      </c>
      <c r="P20" s="3">
        <f t="shared" si="4"/>
        <v>1</v>
      </c>
      <c r="Q20" s="3">
        <f t="shared" si="5"/>
        <v>8</v>
      </c>
      <c r="R20" s="7" t="s">
        <v>237</v>
      </c>
      <c r="S20" s="18" t="str" cm="1">
        <f t="array" ref="S20">structUnpackCode(R20)</f>
        <v>&lt;ff</v>
      </c>
      <c r="T20" s="18" t="str" cm="1">
        <f t="array" ref="T20">CStruct(R20,X20:AE20,G20)</f>
        <v>struct canData {_x000D_
	float Reserved;_x000D_
	float FifteenVSupply;_x000D_
}</v>
      </c>
      <c r="U20" s="18"/>
      <c r="V20" s="19" t="s">
        <v>277</v>
      </c>
      <c r="W20" s="19" t="str" cm="1">
        <f t="array" ref="W20">CamelCase(C20)</f>
        <v>Tritium</v>
      </c>
      <c r="X20" s="19" t="str" cm="1">
        <f t="array" ref="X20">IF(OR(H20="IN USE", H20="-"), "-", CamelCase(H20))</f>
        <v>Reserved</v>
      </c>
      <c r="Y20" s="19" t="str" cm="1">
        <f t="array" ref="Y20">IF(OR(I20="IN USE", I20="-"), "-", CamelCase(I20))</f>
        <v>-</v>
      </c>
      <c r="Z20" s="19" t="str" cm="1">
        <f t="array" ref="Z20">IF(OR(J20="IN USE", J20="-"), "-", CamelCase(J20))</f>
        <v>-</v>
      </c>
      <c r="AA20" s="19" t="str" cm="1">
        <f t="array" ref="AA20">IF(OR(K20="IN USE", K20="-"), "-", CamelCase(K20))</f>
        <v>-</v>
      </c>
      <c r="AB20" s="19" t="str" cm="1">
        <f t="array" ref="AB20">IF(OR(L20="IN USE", L20="-"), "-", CamelCase(L20))</f>
        <v>FifteenVSupply</v>
      </c>
      <c r="AC20" s="19" t="str" cm="1">
        <f t="array" ref="AC20">IF(OR(M20="IN USE", M20="-"), "-", CamelCase(M20))</f>
        <v>-</v>
      </c>
      <c r="AD20" s="19" t="str" cm="1">
        <f t="array" ref="AD20">IF(OR(N20="IN USE", N20="-"), "-", CamelCase(N20))</f>
        <v>-</v>
      </c>
      <c r="AE20" s="19" t="str" cm="1">
        <f t="array" ref="AE20">IF(OR(O20="IN USE", O20="-"), "-", CamelCase(O20))</f>
        <v>-</v>
      </c>
    </row>
    <row r="21" spans="1:31" x14ac:dyDescent="0.3">
      <c r="A21" s="2" t="s">
        <v>47</v>
      </c>
      <c r="B21" s="2" t="s">
        <v>315</v>
      </c>
      <c r="C21" s="2" t="s">
        <v>17</v>
      </c>
      <c r="D21" s="1">
        <v>1</v>
      </c>
      <c r="E21" s="1" t="s">
        <v>66</v>
      </c>
      <c r="F21" s="1">
        <f t="shared" si="3"/>
        <v>1545</v>
      </c>
      <c r="G21" s="1">
        <v>8</v>
      </c>
      <c r="H21" s="2" t="s">
        <v>316</v>
      </c>
      <c r="I21" s="2" t="s">
        <v>33</v>
      </c>
      <c r="J21" s="2" t="s">
        <v>33</v>
      </c>
      <c r="K21" s="2" t="s">
        <v>33</v>
      </c>
      <c r="L21" s="2" t="s">
        <v>317</v>
      </c>
      <c r="M21" s="2" t="s">
        <v>33</v>
      </c>
      <c r="N21" s="2" t="s">
        <v>33</v>
      </c>
      <c r="O21" s="2" t="s">
        <v>33</v>
      </c>
      <c r="P21" s="3">
        <f t="shared" si="4"/>
        <v>1</v>
      </c>
      <c r="Q21" s="3">
        <f t="shared" si="5"/>
        <v>8</v>
      </c>
      <c r="R21" s="7" t="s">
        <v>237</v>
      </c>
      <c r="S21" s="18" t="str" cm="1">
        <f t="array" ref="S21">structUnpackCode(R21)</f>
        <v>&lt;ff</v>
      </c>
      <c r="T21" s="18" t="str" cm="1">
        <f t="array" ref="T21">CStruct(R21,X21:AE21,G21)</f>
        <v>struct canData {_x000D_
	float OneNineVSupply;_x000D_
	float ThreeThreeVSupply;_x000D_
}</v>
      </c>
      <c r="U21" s="18"/>
      <c r="V21" s="19" t="s">
        <v>276</v>
      </c>
      <c r="W21" s="19" t="str" cm="1">
        <f t="array" ref="W21">CamelCase(C21)</f>
        <v>Tritium</v>
      </c>
      <c r="X21" s="19" t="str" cm="1">
        <f t="array" ref="X21">IF(OR(H21="IN USE", H21="-"), "-", CamelCase(H21))</f>
        <v>OneNineVSupply</v>
      </c>
      <c r="Y21" s="19" t="str" cm="1">
        <f t="array" ref="Y21">IF(OR(I21="IN USE", I21="-"), "-", CamelCase(I21))</f>
        <v>-</v>
      </c>
      <c r="Z21" s="19" t="str" cm="1">
        <f t="array" ref="Z21">IF(OR(J21="IN USE", J21="-"), "-", CamelCase(J21))</f>
        <v>-</v>
      </c>
      <c r="AA21" s="19" t="str" cm="1">
        <f t="array" ref="AA21">IF(OR(K21="IN USE", K21="-"), "-", CamelCase(K21))</f>
        <v>-</v>
      </c>
      <c r="AB21" s="19" t="str" cm="1">
        <f t="array" ref="AB21">IF(OR(L21="IN USE", L21="-"), "-", CamelCase(L21))</f>
        <v>ThreeThreeVSupply</v>
      </c>
      <c r="AC21" s="19" t="str" cm="1">
        <f t="array" ref="AC21">IF(OR(M21="IN USE", M21="-"), "-", CamelCase(M21))</f>
        <v>-</v>
      </c>
      <c r="AD21" s="19" t="str" cm="1">
        <f t="array" ref="AD21">IF(OR(N21="IN USE", N21="-"), "-", CamelCase(N21))</f>
        <v>-</v>
      </c>
      <c r="AE21" s="19" t="str" cm="1">
        <f t="array" ref="AE21">IF(OR(O21="IN USE", O21="-"), "-", CamelCase(O21))</f>
        <v>-</v>
      </c>
    </row>
    <row r="22" spans="1:31" x14ac:dyDescent="0.3">
      <c r="A22" s="2" t="s">
        <v>46</v>
      </c>
      <c r="B22" s="2" t="s">
        <v>177</v>
      </c>
      <c r="C22" s="2" t="s">
        <v>17</v>
      </c>
      <c r="D22" s="1">
        <v>1</v>
      </c>
      <c r="E22" s="1" t="s">
        <v>67</v>
      </c>
      <c r="F22" s="1">
        <f t="shared" si="3"/>
        <v>1546</v>
      </c>
      <c r="G22" s="1">
        <v>8</v>
      </c>
      <c r="H22" s="2" t="s">
        <v>177</v>
      </c>
      <c r="I22" s="2" t="s">
        <v>33</v>
      </c>
      <c r="J22" s="2" t="s">
        <v>33</v>
      </c>
      <c r="K22" s="2" t="s">
        <v>33</v>
      </c>
      <c r="L22" s="2" t="s">
        <v>177</v>
      </c>
      <c r="M22" s="2" t="s">
        <v>33</v>
      </c>
      <c r="N22" s="2" t="s">
        <v>33</v>
      </c>
      <c r="O22" s="2" t="s">
        <v>33</v>
      </c>
      <c r="P22" s="3">
        <f t="shared" si="4"/>
        <v>1</v>
      </c>
      <c r="Q22" s="3">
        <f t="shared" si="5"/>
        <v>8</v>
      </c>
      <c r="R22" s="7" t="s">
        <v>237</v>
      </c>
      <c r="S22" s="18" t="str" cm="1">
        <f t="array" ref="S22">structUnpackCode(R22)</f>
        <v>&lt;ff</v>
      </c>
      <c r="T22" s="18" t="str" cm="1">
        <f t="array" ref="T22">CStruct(R22,X22:AE22,G22)</f>
        <v>struct canData {_x000D_
	float Reserved;_x000D_
	float Reserved;_x000D_
}</v>
      </c>
      <c r="U22" s="18"/>
      <c r="V22" s="19" t="str" cm="1">
        <f t="array" ref="V22">CamelCase(B22)</f>
        <v>Reserved</v>
      </c>
      <c r="W22" s="19" t="str" cm="1">
        <f t="array" ref="W22">CamelCase(C22)</f>
        <v>Tritium</v>
      </c>
      <c r="X22" s="19" t="str" cm="1">
        <f t="array" ref="X22">IF(OR(H22="IN USE", H22="-"), "-", CamelCase(H22))</f>
        <v>Reserved</v>
      </c>
      <c r="Y22" s="19" t="str" cm="1">
        <f t="array" ref="Y22">IF(OR(I22="IN USE", I22="-"), "-", CamelCase(I22))</f>
        <v>-</v>
      </c>
      <c r="Z22" s="19" t="str" cm="1">
        <f t="array" ref="Z22">IF(OR(J22="IN USE", J22="-"), "-", CamelCase(J22))</f>
        <v>-</v>
      </c>
      <c r="AA22" s="19" t="str" cm="1">
        <f t="array" ref="AA22">IF(OR(K22="IN USE", K22="-"), "-", CamelCase(K22))</f>
        <v>-</v>
      </c>
      <c r="AB22" s="19" t="str" cm="1">
        <f t="array" ref="AB22">IF(OR(L22="IN USE", L22="-"), "-", CamelCase(L22))</f>
        <v>Reserved</v>
      </c>
      <c r="AC22" s="19" t="str" cm="1">
        <f t="array" ref="AC22">IF(OR(M22="IN USE", M22="-"), "-", CamelCase(M22))</f>
        <v>-</v>
      </c>
      <c r="AD22" s="19" t="str" cm="1">
        <f t="array" ref="AD22">IF(OR(N22="IN USE", N22="-"), "-", CamelCase(N22))</f>
        <v>-</v>
      </c>
      <c r="AE22" s="19" t="str" cm="1">
        <f t="array" ref="AE22">IF(OR(O22="IN USE", O22="-"), "-", CamelCase(O22))</f>
        <v>-</v>
      </c>
    </row>
    <row r="23" spans="1:31" x14ac:dyDescent="0.3">
      <c r="A23" s="2" t="s">
        <v>47</v>
      </c>
      <c r="B23" s="2" t="s">
        <v>78</v>
      </c>
      <c r="C23" s="2" t="s">
        <v>17</v>
      </c>
      <c r="D23" s="1">
        <v>1</v>
      </c>
      <c r="E23" s="1" t="s">
        <v>68</v>
      </c>
      <c r="F23" s="1">
        <f t="shared" si="3"/>
        <v>1547</v>
      </c>
      <c r="G23" s="1">
        <v>8</v>
      </c>
      <c r="H23" s="2" t="s">
        <v>286</v>
      </c>
      <c r="I23" s="2" t="s">
        <v>33</v>
      </c>
      <c r="J23" s="2" t="s">
        <v>33</v>
      </c>
      <c r="K23" s="2" t="s">
        <v>33</v>
      </c>
      <c r="L23" s="2" t="s">
        <v>283</v>
      </c>
      <c r="M23" s="2" t="s">
        <v>33</v>
      </c>
      <c r="N23" s="2" t="s">
        <v>33</v>
      </c>
      <c r="O23" s="2" t="s">
        <v>33</v>
      </c>
      <c r="P23" s="3">
        <f t="shared" si="4"/>
        <v>1</v>
      </c>
      <c r="Q23" s="3">
        <f t="shared" si="5"/>
        <v>8</v>
      </c>
      <c r="R23" s="7" t="s">
        <v>237</v>
      </c>
      <c r="S23" s="18" t="str" cm="1">
        <f t="array" ref="S23">structUnpackCode(R23)</f>
        <v>&lt;ff</v>
      </c>
      <c r="T23" s="18" t="str" cm="1">
        <f t="array" ref="T23">CStruct(R23,X23:AE23,G23)</f>
        <v>struct canData {_x000D_
	float MotorTemp;_x000D_
	float HeatSinkTemp;_x000D_
}</v>
      </c>
      <c r="U23" s="18"/>
      <c r="V23" s="19" t="str" cm="1">
        <f t="array" ref="V23">CamelCase(B23)</f>
        <v>SinkMotorTemperature</v>
      </c>
      <c r="W23" s="19" t="str" cm="1">
        <f t="array" ref="W23">CamelCase(C23)</f>
        <v>Tritium</v>
      </c>
      <c r="X23" s="19" t="str" cm="1">
        <f t="array" ref="X23">IF(OR(H23="IN USE", H23="-"), "-", CamelCase(H23))</f>
        <v>MotorTemp</v>
      </c>
      <c r="Y23" s="19" t="str" cm="1">
        <f t="array" ref="Y23">IF(OR(I23="IN USE", I23="-"), "-", CamelCase(I23))</f>
        <v>-</v>
      </c>
      <c r="Z23" s="19" t="str" cm="1">
        <f t="array" ref="Z23">IF(OR(J23="IN USE", J23="-"), "-", CamelCase(J23))</f>
        <v>-</v>
      </c>
      <c r="AA23" s="19" t="str" cm="1">
        <f t="array" ref="AA23">IF(OR(K23="IN USE", K23="-"), "-", CamelCase(K23))</f>
        <v>-</v>
      </c>
      <c r="AB23" s="19" t="str" cm="1">
        <f t="array" ref="AB23">IF(OR(L23="IN USE", L23="-"), "-", CamelCase(L23))</f>
        <v>HeatSinkTemp</v>
      </c>
      <c r="AC23" s="19" t="str" cm="1">
        <f t="array" ref="AC23">IF(OR(M23="IN USE", M23="-"), "-", CamelCase(M23))</f>
        <v>-</v>
      </c>
      <c r="AD23" s="19" t="str" cm="1">
        <f t="array" ref="AD23">IF(OR(N23="IN USE", N23="-"), "-", CamelCase(N23))</f>
        <v>-</v>
      </c>
      <c r="AE23" s="19" t="str" cm="1">
        <f t="array" ref="AE23">IF(OR(O23="IN USE", O23="-"), "-", CamelCase(O23))</f>
        <v>-</v>
      </c>
    </row>
    <row r="24" spans="1:31" x14ac:dyDescent="0.3">
      <c r="A24" s="2" t="s">
        <v>47</v>
      </c>
      <c r="B24" s="2" t="s">
        <v>318</v>
      </c>
      <c r="C24" s="2" t="s">
        <v>17</v>
      </c>
      <c r="D24" s="1">
        <v>1</v>
      </c>
      <c r="E24" s="1" t="s">
        <v>69</v>
      </c>
      <c r="F24" s="1">
        <f t="shared" si="3"/>
        <v>1548</v>
      </c>
      <c r="G24" s="1">
        <v>8</v>
      </c>
      <c r="H24" s="2" t="s">
        <v>319</v>
      </c>
      <c r="I24" s="2" t="s">
        <v>33</v>
      </c>
      <c r="J24" s="2" t="s">
        <v>33</v>
      </c>
      <c r="K24" s="2" t="s">
        <v>33</v>
      </c>
      <c r="L24" s="2" t="s">
        <v>177</v>
      </c>
      <c r="M24" s="2" t="s">
        <v>33</v>
      </c>
      <c r="N24" s="2" t="s">
        <v>33</v>
      </c>
      <c r="O24" s="2" t="s">
        <v>33</v>
      </c>
      <c r="P24" s="3">
        <f t="shared" si="4"/>
        <v>1</v>
      </c>
      <c r="Q24" s="3">
        <f t="shared" si="5"/>
        <v>8</v>
      </c>
      <c r="R24" s="7" t="s">
        <v>237</v>
      </c>
      <c r="S24" s="18" t="str" cm="1">
        <f t="array" ref="S24">structUnpackCode(R24)</f>
        <v>&lt;ff</v>
      </c>
      <c r="T24" s="18" t="str" cm="1">
        <f t="array" ref="T24">CStruct(R24,X24:AE24,G24)</f>
        <v>struct canData {_x000D_
	float DspBoardTemp;_x000D_
	float Reserved;_x000D_
}</v>
      </c>
      <c r="U24" s="18"/>
      <c r="V24" s="19" t="str" cm="1">
        <f t="array" ref="V24">CamelCase(B24)</f>
        <v>DspBoardTemperature</v>
      </c>
      <c r="W24" s="19" t="str" cm="1">
        <f t="array" ref="W24">CamelCase(C24)</f>
        <v>Tritium</v>
      </c>
      <c r="X24" s="19" t="str" cm="1">
        <f t="array" ref="X24">IF(OR(H24="IN USE", H24="-"), "-", CamelCase(H24))</f>
        <v>DspBoardTemp</v>
      </c>
      <c r="Y24" s="19" t="str" cm="1">
        <f t="array" ref="Y24">IF(OR(I24="IN USE", I24="-"), "-", CamelCase(I24))</f>
        <v>-</v>
      </c>
      <c r="Z24" s="19" t="str" cm="1">
        <f t="array" ref="Z24">IF(OR(J24="IN USE", J24="-"), "-", CamelCase(J24))</f>
        <v>-</v>
      </c>
      <c r="AA24" s="19" t="str" cm="1">
        <f t="array" ref="AA24">IF(OR(K24="IN USE", K24="-"), "-", CamelCase(K24))</f>
        <v>-</v>
      </c>
      <c r="AB24" s="19" t="str" cm="1">
        <f t="array" ref="AB24">IF(OR(L24="IN USE", L24="-"), "-", CamelCase(L24))</f>
        <v>Reserved</v>
      </c>
      <c r="AC24" s="19" t="str" cm="1">
        <f t="array" ref="AC24">IF(OR(M24="IN USE", M24="-"), "-", CamelCase(M24))</f>
        <v>-</v>
      </c>
      <c r="AD24" s="19" t="str" cm="1">
        <f t="array" ref="AD24">IF(OR(N24="IN USE", N24="-"), "-", CamelCase(N24))</f>
        <v>-</v>
      </c>
      <c r="AE24" s="19" t="str" cm="1">
        <f t="array" ref="AE24">IF(OR(O24="IN USE", O24="-"), "-", CamelCase(O24))</f>
        <v>-</v>
      </c>
    </row>
    <row r="25" spans="1:31" x14ac:dyDescent="0.3">
      <c r="A25" s="2" t="s">
        <v>46</v>
      </c>
      <c r="B25" s="2" t="s">
        <v>177</v>
      </c>
      <c r="C25" s="2" t="s">
        <v>17</v>
      </c>
      <c r="D25" s="1">
        <v>1</v>
      </c>
      <c r="E25" s="1" t="s">
        <v>70</v>
      </c>
      <c r="F25" s="1">
        <f t="shared" si="3"/>
        <v>1549</v>
      </c>
      <c r="G25" s="1">
        <v>8</v>
      </c>
      <c r="H25" s="2" t="s">
        <v>177</v>
      </c>
      <c r="I25" s="2" t="s">
        <v>33</v>
      </c>
      <c r="J25" s="2" t="s">
        <v>33</v>
      </c>
      <c r="K25" s="2" t="s">
        <v>33</v>
      </c>
      <c r="L25" s="2" t="s">
        <v>177</v>
      </c>
      <c r="M25" s="2" t="s">
        <v>33</v>
      </c>
      <c r="N25" s="2" t="s">
        <v>33</v>
      </c>
      <c r="O25" s="2" t="s">
        <v>33</v>
      </c>
      <c r="P25" s="3">
        <f t="shared" si="4"/>
        <v>1</v>
      </c>
      <c r="Q25" s="3">
        <f t="shared" si="5"/>
        <v>8</v>
      </c>
      <c r="R25" s="7" t="s">
        <v>237</v>
      </c>
      <c r="S25" s="18" t="str" cm="1">
        <f t="array" ref="S25">structUnpackCode(R25)</f>
        <v>&lt;ff</v>
      </c>
      <c r="T25" s="18" t="str" cm="1">
        <f t="array" ref="T25">CStruct(R25,X25:AE25,G25)</f>
        <v>struct canData {_x000D_
	float Reserved;_x000D_
	float Reserved;_x000D_
}</v>
      </c>
      <c r="U25" s="18"/>
      <c r="V25" s="19" t="str" cm="1">
        <f t="array" ref="V25">CamelCase(B25)</f>
        <v>Reserved</v>
      </c>
      <c r="W25" s="19" t="str" cm="1">
        <f t="array" ref="W25">CamelCase(C25)</f>
        <v>Tritium</v>
      </c>
      <c r="X25" s="19" t="str" cm="1">
        <f t="array" ref="X25">IF(OR(H25="IN USE", H25="-"), "-", CamelCase(H25))</f>
        <v>Reserved</v>
      </c>
      <c r="Y25" s="19" t="str" cm="1">
        <f t="array" ref="Y25">IF(OR(I25="IN USE", I25="-"), "-", CamelCase(I25))</f>
        <v>-</v>
      </c>
      <c r="Z25" s="19" t="str" cm="1">
        <f t="array" ref="Z25">IF(OR(J25="IN USE", J25="-"), "-", CamelCase(J25))</f>
        <v>-</v>
      </c>
      <c r="AA25" s="19" t="str" cm="1">
        <f t="array" ref="AA25">IF(OR(K25="IN USE", K25="-"), "-", CamelCase(K25))</f>
        <v>-</v>
      </c>
      <c r="AB25" s="19" t="str" cm="1">
        <f t="array" ref="AB25">IF(OR(L25="IN USE", L25="-"), "-", CamelCase(L25))</f>
        <v>Reserved</v>
      </c>
      <c r="AC25" s="19" t="str" cm="1">
        <f t="array" ref="AC25">IF(OR(M25="IN USE", M25="-"), "-", CamelCase(M25))</f>
        <v>-</v>
      </c>
      <c r="AD25" s="19" t="str" cm="1">
        <f t="array" ref="AD25">IF(OR(N25="IN USE", N25="-"), "-", CamelCase(N25))</f>
        <v>-</v>
      </c>
      <c r="AE25" s="19" t="str" cm="1">
        <f t="array" ref="AE25">IF(OR(O25="IN USE", O25="-"), "-", CamelCase(O25))</f>
        <v>-</v>
      </c>
    </row>
    <row r="26" spans="1:31" x14ac:dyDescent="0.3">
      <c r="A26" s="2" t="s">
        <v>47</v>
      </c>
      <c r="B26" s="2" t="s">
        <v>79</v>
      </c>
      <c r="C26" s="2" t="s">
        <v>17</v>
      </c>
      <c r="D26" s="1">
        <v>1</v>
      </c>
      <c r="E26" s="1" t="s">
        <v>71</v>
      </c>
      <c r="F26" s="1">
        <f t="shared" si="3"/>
        <v>1550</v>
      </c>
      <c r="G26" s="1">
        <v>8</v>
      </c>
      <c r="H26" s="2" t="s">
        <v>105</v>
      </c>
      <c r="I26" s="2" t="s">
        <v>33</v>
      </c>
      <c r="J26" s="2" t="s">
        <v>33</v>
      </c>
      <c r="K26" s="2" t="s">
        <v>33</v>
      </c>
      <c r="L26" s="2" t="s">
        <v>284</v>
      </c>
      <c r="M26" s="2" t="s">
        <v>33</v>
      </c>
      <c r="N26" s="2" t="s">
        <v>33</v>
      </c>
      <c r="O26" s="2" t="s">
        <v>33</v>
      </c>
      <c r="P26" s="3">
        <f t="shared" si="4"/>
        <v>1</v>
      </c>
      <c r="Q26" s="3">
        <f t="shared" si="5"/>
        <v>8</v>
      </c>
      <c r="R26" s="7" t="s">
        <v>237</v>
      </c>
      <c r="S26" s="18" t="str" cm="1">
        <f t="array" ref="S26">structUnpackCode(R26)</f>
        <v>&lt;ff</v>
      </c>
      <c r="T26" s="18" t="str" cm="1">
        <f t="array" ref="T26">CStruct(R26,X26:AE26,G26)</f>
        <v>struct canData {_x000D_
	float Odometer;_x000D_
	float DcBusAmpHours;_x000D_
}</v>
      </c>
      <c r="U26" s="18"/>
      <c r="V26" s="19" t="str" cm="1">
        <f t="array" ref="V26">CamelCase(B26)</f>
        <v>OdoBusAmphours</v>
      </c>
      <c r="W26" s="19" t="str" cm="1">
        <f t="array" ref="W26">CamelCase(C26)</f>
        <v>Tritium</v>
      </c>
      <c r="X26" s="19" t="str" cm="1">
        <f t="array" ref="X26">IF(OR(H26="IN USE", H26="-"), "-", CamelCase(H26))</f>
        <v>Odometer</v>
      </c>
      <c r="Y26" s="19" t="str" cm="1">
        <f t="array" ref="Y26">IF(OR(I26="IN USE", I26="-"), "-", CamelCase(I26))</f>
        <v>-</v>
      </c>
      <c r="Z26" s="19" t="str" cm="1">
        <f t="array" ref="Z26">IF(OR(J26="IN USE", J26="-"), "-", CamelCase(J26))</f>
        <v>-</v>
      </c>
      <c r="AA26" s="19" t="str" cm="1">
        <f t="array" ref="AA26">IF(OR(K26="IN USE", K26="-"), "-", CamelCase(K26))</f>
        <v>-</v>
      </c>
      <c r="AB26" s="19" t="str" cm="1">
        <f t="array" ref="AB26">IF(OR(L26="IN USE", L26="-"), "-", CamelCase(L26))</f>
        <v>DcBusAmpHours</v>
      </c>
      <c r="AC26" s="19" t="str" cm="1">
        <f t="array" ref="AC26">IF(OR(M26="IN USE", M26="-"), "-", CamelCase(M26))</f>
        <v>-</v>
      </c>
      <c r="AD26" s="19" t="str" cm="1">
        <f t="array" ref="AD26">IF(OR(N26="IN USE", N26="-"), "-", CamelCase(N26))</f>
        <v>-</v>
      </c>
      <c r="AE26" s="19" t="str" cm="1">
        <f t="array" ref="AE26">IF(OR(O26="IN USE", O26="-"), "-", CamelCase(O26))</f>
        <v>-</v>
      </c>
    </row>
    <row r="27" spans="1:31" x14ac:dyDescent="0.3">
      <c r="A27" s="2" t="s">
        <v>47</v>
      </c>
      <c r="B27" s="2" t="s">
        <v>306</v>
      </c>
      <c r="C27" s="2" t="s">
        <v>17</v>
      </c>
      <c r="D27" s="1">
        <v>0.2</v>
      </c>
      <c r="E27" s="1" t="s">
        <v>304</v>
      </c>
      <c r="F27" s="1">
        <f t="shared" si="3"/>
        <v>1559</v>
      </c>
      <c r="G27" s="1">
        <v>8</v>
      </c>
      <c r="H27" s="2" t="s">
        <v>177</v>
      </c>
      <c r="I27" s="2" t="s">
        <v>33</v>
      </c>
      <c r="J27" s="2" t="s">
        <v>33</v>
      </c>
      <c r="K27" s="2" t="s">
        <v>33</v>
      </c>
      <c r="L27" s="2" t="s">
        <v>305</v>
      </c>
      <c r="M27" s="2" t="s">
        <v>33</v>
      </c>
      <c r="N27" s="2" t="s">
        <v>33</v>
      </c>
      <c r="O27" s="2" t="s">
        <v>33</v>
      </c>
      <c r="P27" s="3">
        <f t="shared" si="4"/>
        <v>5</v>
      </c>
      <c r="Q27" s="3">
        <f t="shared" si="5"/>
        <v>40</v>
      </c>
      <c r="R27" s="7" t="s">
        <v>237</v>
      </c>
      <c r="S27" s="18" t="str" cm="1">
        <f t="array" ref="S27">structUnpackCode(R27)</f>
        <v>&lt;ff</v>
      </c>
      <c r="T27" s="18" t="str" cm="1">
        <f t="array" ref="T27">CStruct(R27,X27:AE27,G27)</f>
        <v>struct canData {_x000D_
	float Reserved;_x000D_
	float SlipSpeed;_x000D_
}</v>
      </c>
      <c r="U27" s="18"/>
      <c r="V27" s="19" t="str" cm="1">
        <f t="array" ref="V27">CamelCase(B27)</f>
        <v>SlipSpeedMeasurement</v>
      </c>
      <c r="W27" s="19" t="str" cm="1">
        <f t="array" ref="W27">CamelCase(C27)</f>
        <v>Tritium</v>
      </c>
      <c r="X27" s="19" t="str" cm="1">
        <f t="array" ref="X27">IF(OR(H27="IN USE", H27="-"), "-", CamelCase(H27))</f>
        <v>Reserved</v>
      </c>
      <c r="Y27" s="19" t="str" cm="1">
        <f t="array" ref="Y27">IF(OR(I27="IN USE", I27="-"), "-", CamelCase(I27))</f>
        <v>-</v>
      </c>
      <c r="Z27" s="19" t="str" cm="1">
        <f t="array" ref="Z27">IF(OR(J27="IN USE", J27="-"), "-", CamelCase(J27))</f>
        <v>-</v>
      </c>
      <c r="AA27" s="19" t="str" cm="1">
        <f t="array" ref="AA27">IF(OR(K27="IN USE", K27="-"), "-", CamelCase(K27))</f>
        <v>-</v>
      </c>
      <c r="AB27" s="19" t="str" cm="1">
        <f t="array" ref="AB27">IF(OR(L27="IN USE", L27="-"), "-", CamelCase(L27))</f>
        <v>SlipSpeed</v>
      </c>
      <c r="AC27" s="19" t="str" cm="1">
        <f t="array" ref="AC27">IF(OR(M27="IN USE", M27="-"), "-", CamelCase(M27))</f>
        <v>-</v>
      </c>
      <c r="AD27" s="19" t="str" cm="1">
        <f t="array" ref="AD27">IF(OR(N27="IN USE", N27="-"), "-", CamelCase(N27))</f>
        <v>-</v>
      </c>
      <c r="AE27" s="19" t="str" cm="1">
        <f t="array" ref="AE27">IF(OR(O27="IN USE", O27="-"), "-", CamelCase(O27))</f>
        <v>-</v>
      </c>
    </row>
    <row r="28" spans="1:31" x14ac:dyDescent="0.3">
      <c r="A28" s="2" t="s">
        <v>47</v>
      </c>
      <c r="B28" s="2" t="s">
        <v>52</v>
      </c>
      <c r="C28" s="2" t="s">
        <v>13</v>
      </c>
      <c r="D28" s="1">
        <v>0.104</v>
      </c>
      <c r="E28" s="1" t="s">
        <v>27</v>
      </c>
      <c r="F28" s="1">
        <f t="shared" si="3"/>
        <v>1792</v>
      </c>
      <c r="G28" s="1">
        <v>6</v>
      </c>
      <c r="H28" s="2" t="s">
        <v>30</v>
      </c>
      <c r="I28" s="2" t="s">
        <v>33</v>
      </c>
      <c r="J28" s="2" t="s">
        <v>36</v>
      </c>
      <c r="K28" s="2" t="s">
        <v>33</v>
      </c>
      <c r="L28" s="2" t="s">
        <v>285</v>
      </c>
      <c r="M28" s="2" t="s">
        <v>33</v>
      </c>
      <c r="N28" s="2" t="s">
        <v>42</v>
      </c>
      <c r="O28" s="2" t="s">
        <v>42</v>
      </c>
      <c r="P28" s="3">
        <f t="shared" si="4"/>
        <v>9.615384615384615</v>
      </c>
      <c r="Q28" s="3">
        <f t="shared" si="5"/>
        <v>57.692307692307693</v>
      </c>
      <c r="R28" s="8" t="s">
        <v>260</v>
      </c>
      <c r="S28" s="18" t="str" cm="1">
        <f t="array" ref="S28">structUnpackCode(R28)</f>
        <v>&lt;HHH</v>
      </c>
      <c r="T28" s="18" t="str" cm="1">
        <f t="array" ref="T28">CStruct(R28,X28:AE28,G28)</f>
        <v>struct canData {_x000D_
	uint16_t HighCellVoltage;_x000D_
	uint16_t LowCellVoltage;_x000D_
	uint16_t AvgCellVoltage;_x000D_
}</v>
      </c>
      <c r="U28" s="18"/>
      <c r="V28" s="19" t="str" cm="1">
        <f t="array" ref="V28">CamelCase(B28)</f>
        <v>CellVoltages</v>
      </c>
      <c r="W28" s="19" t="str" cm="1">
        <f t="array" ref="W28">CamelCase(C28)</f>
        <v>Bms</v>
      </c>
      <c r="X28" s="19" t="str" cm="1">
        <f t="array" ref="X28">IF(OR(H28="IN USE", H28="-"), "-", CamelCase(H28))</f>
        <v>HighCellVoltage</v>
      </c>
      <c r="Y28" s="19" t="str" cm="1">
        <f t="array" ref="Y28">IF(OR(I28="IN USE", I28="-"), "-", CamelCase(I28))</f>
        <v>-</v>
      </c>
      <c r="Z28" s="19" t="str" cm="1">
        <f t="array" ref="Z28">IF(OR(J28="IN USE", J28="-"), "-", CamelCase(J28))</f>
        <v>LowCellVoltage</v>
      </c>
      <c r="AA28" s="19" t="str" cm="1">
        <f t="array" ref="AA28">IF(OR(K28="IN USE", K28="-"), "-", CamelCase(K28))</f>
        <v>-</v>
      </c>
      <c r="AB28" s="19" t="str" cm="1">
        <f t="array" ref="AB28">IF(OR(L28="IN USE", L28="-"), "-", CamelCase(L28))</f>
        <v>AvgCellVoltage</v>
      </c>
      <c r="AC28" s="19" t="str" cm="1">
        <f t="array" ref="AC28">IF(OR(M28="IN USE", M28="-"), "-", CamelCase(M28))</f>
        <v>-</v>
      </c>
      <c r="AD28" s="19" t="str" cm="1">
        <f t="array" ref="AD28">IF(OR(N28="IN USE", N28="-"), "-", CamelCase(N28))</f>
        <v>-</v>
      </c>
      <c r="AE28" s="19" t="str" cm="1">
        <f t="array" ref="AE28">IF(OR(O28="IN USE", O28="-"), "-", CamelCase(O28))</f>
        <v>-</v>
      </c>
    </row>
    <row r="29" spans="1:31" x14ac:dyDescent="0.3">
      <c r="A29" s="2" t="s">
        <v>47</v>
      </c>
      <c r="B29" s="2" t="s">
        <v>45</v>
      </c>
      <c r="C29" s="2" t="s">
        <v>13</v>
      </c>
      <c r="D29" s="1">
        <v>0.104</v>
      </c>
      <c r="E29" s="1" t="s">
        <v>28</v>
      </c>
      <c r="F29" s="1">
        <f t="shared" si="3"/>
        <v>1793</v>
      </c>
      <c r="G29" s="1">
        <v>6</v>
      </c>
      <c r="H29" s="2" t="s">
        <v>31</v>
      </c>
      <c r="I29" s="2" t="s">
        <v>34</v>
      </c>
      <c r="J29" s="2" t="s">
        <v>37</v>
      </c>
      <c r="K29" s="2" t="s">
        <v>38</v>
      </c>
      <c r="L29" s="2" t="s">
        <v>40</v>
      </c>
      <c r="M29" s="2" t="s">
        <v>41</v>
      </c>
      <c r="N29" s="2" t="s">
        <v>42</v>
      </c>
      <c r="O29" s="2" t="s">
        <v>42</v>
      </c>
      <c r="P29" s="3">
        <f t="shared" si="4"/>
        <v>9.615384615384615</v>
      </c>
      <c r="Q29" s="3">
        <f t="shared" si="5"/>
        <v>57.692307692307693</v>
      </c>
      <c r="R29" s="15" t="s">
        <v>261</v>
      </c>
      <c r="S29" s="18" t="str" cm="1">
        <f t="array" ref="S29">structUnpackCode(R29)</f>
        <v>&lt;bbbbbb</v>
      </c>
      <c r="T29" s="18" t="str" cm="1">
        <f t="array" ref="T29">CStruct(R29,X29:AE29,G29)</f>
        <v>struct canData {_x000D_
	int8_t HighTemperature;_x000D_
	int8_t LowTemperature;_x000D_
	int8_t AverageTemperature;_x000D_
	int8_t PackDcl;_x000D_
	int8_t PackCcl;_x000D_
	int8_t CurrentLimit;_x000D_
}</v>
      </c>
      <c r="U29" s="18"/>
      <c r="V29" s="19" t="str" cm="1">
        <f t="array" ref="V29">CamelCase(B29)</f>
        <v>CellTempsDischargeChageCurrentLimit</v>
      </c>
      <c r="W29" s="19" t="str" cm="1">
        <f t="array" ref="W29">CamelCase(C29)</f>
        <v>Bms</v>
      </c>
      <c r="X29" s="19" t="str" cm="1">
        <f t="array" ref="X29">IF(OR(H29="IN USE", H29="-"), "-", CamelCase(H29))</f>
        <v>HighTemperature</v>
      </c>
      <c r="Y29" s="19" t="str" cm="1">
        <f t="array" ref="Y29">IF(OR(I29="IN USE", I29="-"), "-", CamelCase(I29))</f>
        <v>LowTemperature</v>
      </c>
      <c r="Z29" s="19" t="str" cm="1">
        <f t="array" ref="Z29">IF(OR(J29="IN USE", J29="-"), "-", CamelCase(J29))</f>
        <v>AverageTemperature</v>
      </c>
      <c r="AA29" s="19" t="str" cm="1">
        <f t="array" ref="AA29">IF(OR(K29="IN USE", K29="-"), "-", CamelCase(K29))</f>
        <v>PackDcl</v>
      </c>
      <c r="AB29" s="19" t="str" cm="1">
        <f t="array" ref="AB29">IF(OR(L29="IN USE", L29="-"), "-", CamelCase(L29))</f>
        <v>PackCcl</v>
      </c>
      <c r="AC29" s="19" t="str" cm="1">
        <f t="array" ref="AC29">IF(OR(M29="IN USE", M29="-"), "-", CamelCase(M29))</f>
        <v>CurrentLimit</v>
      </c>
      <c r="AD29" s="19" t="str" cm="1">
        <f t="array" ref="AD29">IF(OR(N29="IN USE", N29="-"), "-", CamelCase(N29))</f>
        <v>-</v>
      </c>
      <c r="AE29" s="19" t="str" cm="1">
        <f t="array" ref="AE29">IF(OR(O29="IN USE", O29="-"), "-", CamelCase(O29))</f>
        <v>-</v>
      </c>
    </row>
    <row r="30" spans="1:31" x14ac:dyDescent="0.3">
      <c r="A30" s="2" t="s">
        <v>47</v>
      </c>
      <c r="B30" s="2" t="s">
        <v>184</v>
      </c>
      <c r="C30" s="2" t="s">
        <v>13</v>
      </c>
      <c r="D30" s="1">
        <v>0.104</v>
      </c>
      <c r="E30" s="1" t="s">
        <v>29</v>
      </c>
      <c r="F30" s="1">
        <f t="shared" si="3"/>
        <v>1794</v>
      </c>
      <c r="G30" s="1">
        <v>8</v>
      </c>
      <c r="H30" s="2" t="s">
        <v>35</v>
      </c>
      <c r="I30" s="2" t="s">
        <v>33</v>
      </c>
      <c r="J30" s="2" t="s">
        <v>39</v>
      </c>
      <c r="K30" s="2" t="s">
        <v>33</v>
      </c>
      <c r="L30" s="2" t="s">
        <v>183</v>
      </c>
      <c r="M30" s="2" t="s">
        <v>33</v>
      </c>
      <c r="N30" s="2" t="s">
        <v>32</v>
      </c>
      <c r="O30" s="2" t="s">
        <v>43</v>
      </c>
      <c r="P30" s="3">
        <f t="shared" si="4"/>
        <v>9.615384615384615</v>
      </c>
      <c r="Q30" s="3">
        <f t="shared" si="5"/>
        <v>76.92307692307692</v>
      </c>
      <c r="R30" s="8" t="s">
        <v>266</v>
      </c>
      <c r="S30" s="18" t="str" cm="1">
        <f t="array" ref="S30">structUnpackCode(R30)</f>
        <v>&lt;hHHBB</v>
      </c>
      <c r="T30" s="18" t="str" cm="1">
        <f t="array" ref="T30">CStruct(R30,X30:AE30,G30)</f>
        <v>struct canData {_x000D_
	int16_t PackCurrent;_x000D_
	uint16_t PackInstVoltage;_x000D_
	uint16_t PackSumv;_x000D_
	uint8_t PackSoc;_x000D_
	uint8_t RelayState;_x000D_
}</v>
      </c>
      <c r="U30" s="18"/>
      <c r="V30" s="19" t="str" cm="1">
        <f t="array" ref="V30">CamelCase(B30)</f>
        <v>BmsMessage</v>
      </c>
      <c r="W30" s="19" t="str" cm="1">
        <f t="array" ref="W30">CamelCase(C30)</f>
        <v>Bms</v>
      </c>
      <c r="X30" s="19" t="str" cm="1">
        <f t="array" ref="X30">IF(OR(H30="IN USE", H30="-"), "-", CamelCase(H30))</f>
        <v>PackCurrent</v>
      </c>
      <c r="Y30" s="19" t="str" cm="1">
        <f t="array" ref="Y30">IF(OR(I30="IN USE", I30="-"), "-", CamelCase(I30))</f>
        <v>-</v>
      </c>
      <c r="Z30" s="19" t="str" cm="1">
        <f t="array" ref="Z30">IF(OR(J30="IN USE", J30="-"), "-", CamelCase(J30))</f>
        <v>PackInstVoltage</v>
      </c>
      <c r="AA30" s="19" t="str" cm="1">
        <f t="array" ref="AA30">IF(OR(K30="IN USE", K30="-"), "-", CamelCase(K30))</f>
        <v>-</v>
      </c>
      <c r="AB30" s="19" t="str" cm="1">
        <f t="array" ref="AB30">IF(OR(L30="IN USE", L30="-"), "-", CamelCase(L30))</f>
        <v>PackSumv</v>
      </c>
      <c r="AC30" s="19" t="str" cm="1">
        <f t="array" ref="AC30">IF(OR(M30="IN USE", M30="-"), "-", CamelCase(M30))</f>
        <v>-</v>
      </c>
      <c r="AD30" s="19" t="str" cm="1">
        <f t="array" ref="AD30">IF(OR(N30="IN USE", N30="-"), "-", CamelCase(N30))</f>
        <v>PackSoc</v>
      </c>
      <c r="AE30" s="19" t="str" cm="1">
        <f t="array" ref="AE30">IF(OR(O30="IN USE", O30="-"), "-", CamelCase(O30))</f>
        <v>RelayState</v>
      </c>
    </row>
    <row r="31" spans="1:31" x14ac:dyDescent="0.3">
      <c r="A31" s="2" t="s">
        <v>236</v>
      </c>
      <c r="B31" s="2" t="s">
        <v>242</v>
      </c>
      <c r="S31"/>
      <c r="T31"/>
      <c r="U31"/>
    </row>
    <row r="33" spans="1:36" x14ac:dyDescent="0.3">
      <c r="A33" s="2" t="s">
        <v>49</v>
      </c>
      <c r="B33" s="2" t="s">
        <v>186</v>
      </c>
      <c r="C33" s="2" t="s">
        <v>48</v>
      </c>
      <c r="E33" s="1" t="s">
        <v>174</v>
      </c>
      <c r="F33" s="1">
        <f>HEX2DEC(RIGHT(E33,LEN(E33)-2))</f>
        <v>1809</v>
      </c>
      <c r="G33" s="1">
        <v>8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3" t="str">
        <f>IF(ISBLANK(D33),"",1/D33)</f>
        <v/>
      </c>
      <c r="Q33" s="3"/>
      <c r="R33" s="2" t="s">
        <v>188</v>
      </c>
    </row>
    <row r="34" spans="1:36" x14ac:dyDescent="0.3">
      <c r="A34" s="2" t="s">
        <v>49</v>
      </c>
      <c r="B34" s="2" t="s">
        <v>187</v>
      </c>
      <c r="C34" s="2" t="s">
        <v>48</v>
      </c>
      <c r="E34" s="1" t="s">
        <v>175</v>
      </c>
      <c r="F34" s="1">
        <f>HEX2DEC(RIGHT(E34,LEN(E34)-2))</f>
        <v>1810</v>
      </c>
      <c r="G34" s="1">
        <v>8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3" t="str">
        <f>IF(ISBLANK(D34),"",1/D34)</f>
        <v/>
      </c>
      <c r="Q34" s="3" t="str">
        <f>IF(ISBLANK(D34),"",G34/D34)</f>
        <v/>
      </c>
      <c r="R34" s="2" t="s">
        <v>188</v>
      </c>
    </row>
    <row r="35" spans="1:36" x14ac:dyDescent="0.3">
      <c r="A35" s="2" t="s">
        <v>49</v>
      </c>
      <c r="B35" s="2" t="s">
        <v>185</v>
      </c>
      <c r="C35" s="2" t="s">
        <v>14</v>
      </c>
      <c r="E35" s="1" t="s">
        <v>189</v>
      </c>
      <c r="F35" s="1">
        <f>HEX2DEC(RIGHT(E35,LEN(E35)-2))</f>
        <v>1905</v>
      </c>
      <c r="G35" s="1">
        <v>7</v>
      </c>
      <c r="P35" s="3" t="str">
        <f>IF(ISBLANK(D35),"",1/D35)</f>
        <v/>
      </c>
      <c r="Q35" s="3" t="str">
        <f>IF(ISBLANK(D35),"",G35/D35)</f>
        <v/>
      </c>
      <c r="R35" s="8" t="s">
        <v>241</v>
      </c>
    </row>
    <row r="36" spans="1:36" x14ac:dyDescent="0.3">
      <c r="A36" s="2" t="s">
        <v>49</v>
      </c>
      <c r="B36" s="2" t="s">
        <v>185</v>
      </c>
      <c r="C36" s="2" t="s">
        <v>15</v>
      </c>
      <c r="E36" s="1" t="s">
        <v>190</v>
      </c>
      <c r="F36" s="1">
        <f>HEX2DEC(RIGHT(E36,LEN(E36)-2))</f>
        <v>1906</v>
      </c>
      <c r="G36" s="1">
        <v>7</v>
      </c>
      <c r="T36" s="2" t="s">
        <v>273</v>
      </c>
      <c r="AH36" s="3" t="str">
        <f>IF(ISBLANK(D36),"",1/D36)</f>
        <v/>
      </c>
      <c r="AI36" s="3" t="str">
        <f>IF(ISBLANK(D36),"",G36/D36)</f>
        <v/>
      </c>
      <c r="AJ36" s="8"/>
    </row>
    <row r="37" spans="1:36" x14ac:dyDescent="0.3">
      <c r="P37" s="3"/>
      <c r="Q37" s="3"/>
    </row>
    <row r="38" spans="1:36" x14ac:dyDescent="0.3">
      <c r="P38" s="3" t="str">
        <f>IF(ISBLANK(D38),"",1/D38)</f>
        <v/>
      </c>
      <c r="Q38" s="3" t="str">
        <f>IF(ISBLANK(D38),"",G38/D38)</f>
        <v/>
      </c>
    </row>
    <row r="40" spans="1:36" x14ac:dyDescent="0.3">
      <c r="B40" s="2" t="s">
        <v>209</v>
      </c>
      <c r="H40" s="2" t="s">
        <v>198</v>
      </c>
      <c r="I40" s="2" t="s">
        <v>238</v>
      </c>
    </row>
    <row r="41" spans="1:36" x14ac:dyDescent="0.3">
      <c r="B41" s="2" t="s">
        <v>203</v>
      </c>
      <c r="C41" s="2" t="s">
        <v>48</v>
      </c>
      <c r="E41" s="1" t="s">
        <v>208</v>
      </c>
      <c r="H41" s="12" t="s">
        <v>202</v>
      </c>
    </row>
    <row r="42" spans="1:36" x14ac:dyDescent="0.3">
      <c r="B42" s="2" t="s">
        <v>204</v>
      </c>
      <c r="C42" s="2" t="s">
        <v>48</v>
      </c>
      <c r="E42" s="1" t="s">
        <v>165</v>
      </c>
      <c r="H42" s="12" t="s">
        <v>199</v>
      </c>
    </row>
    <row r="43" spans="1:36" x14ac:dyDescent="0.3">
      <c r="B43" s="2" t="s">
        <v>203</v>
      </c>
      <c r="C43" s="2" t="s">
        <v>205</v>
      </c>
      <c r="E43" s="1" t="s">
        <v>207</v>
      </c>
    </row>
    <row r="44" spans="1:36" x14ac:dyDescent="0.3">
      <c r="B44" s="2" t="s">
        <v>206</v>
      </c>
      <c r="C44" s="2" t="s">
        <v>205</v>
      </c>
      <c r="E44" s="1" t="s">
        <v>54</v>
      </c>
    </row>
    <row r="45" spans="1:36" x14ac:dyDescent="0.3">
      <c r="B45" s="2" t="s">
        <v>210</v>
      </c>
      <c r="C45" s="2" t="s">
        <v>17</v>
      </c>
      <c r="E45" s="1" t="s">
        <v>58</v>
      </c>
    </row>
    <row r="46" spans="1:36" x14ac:dyDescent="0.3">
      <c r="B46" s="2" t="s">
        <v>204</v>
      </c>
      <c r="C46" s="2" t="s">
        <v>17</v>
      </c>
      <c r="E46" s="1" t="s">
        <v>59</v>
      </c>
    </row>
  </sheetData>
  <autoFilter ref="A1:U36" xr:uid="{D7006E8D-471C-FD46-A1D1-22F26DACF42F}"/>
  <phoneticPr fontId="2" type="noConversion"/>
  <conditionalFormatting sqref="H37:H38 L37:L38 L8:O9 H9:K9 I14:K25 I10:L10 H1:O2 H7:O7 Z36:AG36 H33:O35 M12:O12 H12 M14:O26 H39:O50 H66:O1048576 I51:O65 H26:K27 H17:H25 L11:L27">
    <cfRule type="containsText" dxfId="49" priority="61" operator="containsText" text="IN USE">
      <formula>NOT(ISERROR(SEARCH("IN USE",H1)))</formula>
    </cfRule>
  </conditionalFormatting>
  <conditionalFormatting sqref="A2:A12 A33:A39 A47:A1048576 B40:B46 A17:A27">
    <cfRule type="containsText" dxfId="48" priority="57" operator="containsText" text="N">
      <formula>NOT(ISERROR(SEARCH("N",A2)))</formula>
    </cfRule>
    <cfRule type="containsText" dxfId="47" priority="59" operator="containsText" text="Y">
      <formula>NOT(ISERROR(SEARCH("Y",A2)))</formula>
    </cfRule>
    <cfRule type="containsText" dxfId="46" priority="60" operator="containsText" text="P">
      <formula>NOT(ISERROR(SEARCH("P",A2)))</formula>
    </cfRule>
  </conditionalFormatting>
  <conditionalFormatting sqref="I12:I13 J12:K12">
    <cfRule type="containsText" dxfId="45" priority="56" operator="containsText" text="IN USE">
      <formula>NOT(ISERROR(SEARCH("IN USE",I12)))</formula>
    </cfRule>
  </conditionalFormatting>
  <conditionalFormatting sqref="K13">
    <cfRule type="containsText" dxfId="44" priority="53" operator="containsText" text="IN USE">
      <formula>NOT(ISERROR(SEARCH("IN USE",K13)))</formula>
    </cfRule>
  </conditionalFormatting>
  <conditionalFormatting sqref="M13">
    <cfRule type="containsText" dxfId="43" priority="52" operator="containsText" text="IN USE">
      <formula>NOT(ISERROR(SEARCH("IN USE",M13)))</formula>
    </cfRule>
  </conditionalFormatting>
  <conditionalFormatting sqref="I38:K38">
    <cfRule type="containsText" dxfId="42" priority="51" operator="containsText" text="IN USE">
      <formula>NOT(ISERROR(SEARCH("IN USE",I38)))</formula>
    </cfRule>
  </conditionalFormatting>
  <conditionalFormatting sqref="I37:K37">
    <cfRule type="containsText" dxfId="41" priority="50" operator="containsText" text="IN USE">
      <formula>NOT(ISERROR(SEARCH("IN USE",I37)))</formula>
    </cfRule>
  </conditionalFormatting>
  <conditionalFormatting sqref="M37:O37">
    <cfRule type="containsText" dxfId="40" priority="49" operator="containsText" text="IN USE">
      <formula>NOT(ISERROR(SEARCH("IN USE",M37)))</formula>
    </cfRule>
  </conditionalFormatting>
  <conditionalFormatting sqref="M38:O38">
    <cfRule type="containsText" dxfId="39" priority="48" operator="containsText" text="IN USE">
      <formula>NOT(ISERROR(SEARCH("IN USE",M38)))</formula>
    </cfRule>
  </conditionalFormatting>
  <conditionalFormatting sqref="A13:A15">
    <cfRule type="containsText" dxfId="38" priority="45" operator="containsText" text="N">
      <formula>NOT(ISERROR(SEARCH("N",A13)))</formula>
    </cfRule>
    <cfRule type="containsText" dxfId="37" priority="46" operator="containsText" text="Y">
      <formula>NOT(ISERROR(SEARCH("Y",A13)))</formula>
    </cfRule>
    <cfRule type="containsText" dxfId="36" priority="47" operator="containsText" text="P">
      <formula>NOT(ISERROR(SEARCH("P",A13)))</formula>
    </cfRule>
  </conditionalFormatting>
  <conditionalFormatting sqref="A16">
    <cfRule type="containsText" dxfId="35" priority="36" operator="containsText" text="N">
      <formula>NOT(ISERROR(SEARCH("N",A16)))</formula>
    </cfRule>
    <cfRule type="containsText" dxfId="34" priority="37" operator="containsText" text="Y">
      <formula>NOT(ISERROR(SEARCH("Y",A16)))</formula>
    </cfRule>
    <cfRule type="containsText" dxfId="33" priority="38" operator="containsText" text="P">
      <formula>NOT(ISERROR(SEARCH("P",A16)))</formula>
    </cfRule>
  </conditionalFormatting>
  <conditionalFormatting sqref="A29">
    <cfRule type="containsText" dxfId="32" priority="33" operator="containsText" text="N">
      <formula>NOT(ISERROR(SEARCH("N",A29)))</formula>
    </cfRule>
    <cfRule type="containsText" dxfId="31" priority="34" operator="containsText" text="Y">
      <formula>NOT(ISERROR(SEARCH("Y",A29)))</formula>
    </cfRule>
    <cfRule type="containsText" dxfId="30" priority="35" operator="containsText" text="P">
      <formula>NOT(ISERROR(SEARCH("P",A29)))</formula>
    </cfRule>
  </conditionalFormatting>
  <conditionalFormatting sqref="A28">
    <cfRule type="containsText" dxfId="29" priority="30" operator="containsText" text="N">
      <formula>NOT(ISERROR(SEARCH("N",A28)))</formula>
    </cfRule>
    <cfRule type="containsText" dxfId="28" priority="31" operator="containsText" text="Y">
      <formula>NOT(ISERROR(SEARCH("Y",A28)))</formula>
    </cfRule>
    <cfRule type="containsText" dxfId="27" priority="32" operator="containsText" text="P">
      <formula>NOT(ISERROR(SEARCH("P",A28)))</formula>
    </cfRule>
  </conditionalFormatting>
  <conditionalFormatting sqref="A30">
    <cfRule type="containsText" dxfId="26" priority="27" operator="containsText" text="N">
      <formula>NOT(ISERROR(SEARCH("N",A30)))</formula>
    </cfRule>
    <cfRule type="containsText" dxfId="25" priority="28" operator="containsText" text="Y">
      <formula>NOT(ISERROR(SEARCH("Y",A30)))</formula>
    </cfRule>
    <cfRule type="containsText" dxfId="24" priority="29" operator="containsText" text="P">
      <formula>NOT(ISERROR(SEARCH("P",A30)))</formula>
    </cfRule>
  </conditionalFormatting>
  <conditionalFormatting sqref="I28">
    <cfRule type="containsText" dxfId="23" priority="21" operator="containsText" text="IN USE">
      <formula>NOT(ISERROR(SEARCH("IN USE",I28)))</formula>
    </cfRule>
  </conditionalFormatting>
  <conditionalFormatting sqref="K28">
    <cfRule type="containsText" dxfId="22" priority="20" operator="containsText" text="IN USE">
      <formula>NOT(ISERROR(SEARCH("IN USE",K28)))</formula>
    </cfRule>
  </conditionalFormatting>
  <conditionalFormatting sqref="M27:M28">
    <cfRule type="containsText" dxfId="21" priority="19" operator="containsText" text="IN USE">
      <formula>NOT(ISERROR(SEARCH("IN USE",M27)))</formula>
    </cfRule>
  </conditionalFormatting>
  <conditionalFormatting sqref="M10:O10">
    <cfRule type="containsText" dxfId="20" priority="18" operator="containsText" text="IN USE">
      <formula>NOT(ISERROR(SEARCH("IN USE",M10)))</formula>
    </cfRule>
  </conditionalFormatting>
  <conditionalFormatting sqref="M11:O11">
    <cfRule type="containsText" dxfId="19" priority="17" operator="containsText" text="IN USE">
      <formula>NOT(ISERROR(SEARCH("IN USE",M11)))</formula>
    </cfRule>
  </conditionalFormatting>
  <conditionalFormatting sqref="I3:I6">
    <cfRule type="containsText" dxfId="18" priority="16" operator="containsText" text="IN USE">
      <formula>NOT(ISERROR(SEARCH("IN USE",I3)))</formula>
    </cfRule>
  </conditionalFormatting>
  <conditionalFormatting sqref="J3">
    <cfRule type="containsText" dxfId="17" priority="15" operator="containsText" text="IN USE">
      <formula>NOT(ISERROR(SEARCH("IN USE",J3)))</formula>
    </cfRule>
  </conditionalFormatting>
  <conditionalFormatting sqref="K3">
    <cfRule type="containsText" dxfId="16" priority="14" operator="containsText" text="IN USE">
      <formula>NOT(ISERROR(SEARCH("IN USE",K3)))</formula>
    </cfRule>
  </conditionalFormatting>
  <conditionalFormatting sqref="M3">
    <cfRule type="containsText" dxfId="15" priority="13" operator="containsText" text="IN USE">
      <formula>NOT(ISERROR(SEARCH("IN USE",M3)))</formula>
    </cfRule>
  </conditionalFormatting>
  <conditionalFormatting sqref="N3">
    <cfRule type="containsText" dxfId="14" priority="12" operator="containsText" text="IN USE">
      <formula>NOT(ISERROR(SEARCH("IN USE",N3)))</formula>
    </cfRule>
  </conditionalFormatting>
  <conditionalFormatting sqref="O3">
    <cfRule type="containsText" dxfId="13" priority="11" operator="containsText" text="IN USE">
      <formula>NOT(ISERROR(SEARCH("IN USE",O3)))</formula>
    </cfRule>
  </conditionalFormatting>
  <conditionalFormatting sqref="J4">
    <cfRule type="containsText" dxfId="12" priority="10" operator="containsText" text="IN USE">
      <formula>NOT(ISERROR(SEARCH("IN USE",J4)))</formula>
    </cfRule>
  </conditionalFormatting>
  <conditionalFormatting sqref="K4">
    <cfRule type="containsText" dxfId="11" priority="9" operator="containsText" text="IN USE">
      <formula>NOT(ISERROR(SEARCH("IN USE",K4)))</formula>
    </cfRule>
  </conditionalFormatting>
  <conditionalFormatting sqref="J5">
    <cfRule type="containsText" dxfId="10" priority="8" operator="containsText" text="IN USE">
      <formula>NOT(ISERROR(SEARCH("IN USE",J5)))</formula>
    </cfRule>
  </conditionalFormatting>
  <conditionalFormatting sqref="K5">
    <cfRule type="containsText" dxfId="9" priority="7" operator="containsText" text="IN USE">
      <formula>NOT(ISERROR(SEARCH("IN USE",K5)))</formula>
    </cfRule>
  </conditionalFormatting>
  <conditionalFormatting sqref="J6">
    <cfRule type="containsText" dxfId="8" priority="6" operator="containsText" text="IN USE">
      <formula>NOT(ISERROR(SEARCH("IN USE",J6)))</formula>
    </cfRule>
  </conditionalFormatting>
  <conditionalFormatting sqref="K6">
    <cfRule type="containsText" dxfId="7" priority="5" operator="containsText" text="IN USE">
      <formula>NOT(ISERROR(SEARCH("IN USE",K6)))</formula>
    </cfRule>
  </conditionalFormatting>
  <conditionalFormatting sqref="X1:AE1">
    <cfRule type="containsText" dxfId="6" priority="4" operator="containsText" text="IN USE">
      <formula>NOT(ISERROR(SEARCH("IN USE",X1)))</formula>
    </cfRule>
  </conditionalFormatting>
  <conditionalFormatting sqref="N27">
    <cfRule type="containsText" dxfId="5" priority="3" operator="containsText" text="IN USE">
      <formula>NOT(ISERROR(SEARCH("IN USE",N27)))</formula>
    </cfRule>
  </conditionalFormatting>
  <conditionalFormatting sqref="O27">
    <cfRule type="containsText" dxfId="4" priority="2" operator="containsText" text="IN USE">
      <formula>NOT(ISERROR(SEARCH("IN USE",O27)))</formula>
    </cfRule>
  </conditionalFormatting>
  <conditionalFormatting sqref="B22">
    <cfRule type="containsText" dxfId="0" priority="1" operator="containsText" text="IN USE">
      <formula>NOT(ISERROR(SEARCH("IN USE",B22)))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defaultRowHeight="15.6" x14ac:dyDescent="0.3"/>
  <cols>
    <col min="3" max="3" width="12.19921875" customWidth="1"/>
    <col min="4" max="4" width="10.09765625" customWidth="1"/>
  </cols>
  <sheetData>
    <row r="1" spans="1:6" x14ac:dyDescent="0.3">
      <c r="A1" t="s">
        <v>111</v>
      </c>
      <c r="B1" t="s">
        <v>249</v>
      </c>
      <c r="C1" t="s">
        <v>250</v>
      </c>
      <c r="D1" t="s">
        <v>251</v>
      </c>
    </row>
    <row r="2" spans="1:6" x14ac:dyDescent="0.3">
      <c r="A2" t="s">
        <v>247</v>
      </c>
      <c r="B2" t="s">
        <v>247</v>
      </c>
      <c r="C2" t="s">
        <v>267</v>
      </c>
      <c r="D2">
        <v>4</v>
      </c>
    </row>
    <row r="3" spans="1:6" x14ac:dyDescent="0.3">
      <c r="A3" t="s">
        <v>115</v>
      </c>
      <c r="B3" t="s">
        <v>115</v>
      </c>
      <c r="C3" t="s">
        <v>144</v>
      </c>
      <c r="D3">
        <v>1</v>
      </c>
    </row>
    <row r="4" spans="1:6" x14ac:dyDescent="0.3">
      <c r="A4" t="s">
        <v>262</v>
      </c>
      <c r="B4" t="s">
        <v>263</v>
      </c>
      <c r="C4" t="s">
        <v>143</v>
      </c>
      <c r="D4">
        <v>1</v>
      </c>
    </row>
    <row r="5" spans="1:6" x14ac:dyDescent="0.3">
      <c r="A5" t="s">
        <v>248</v>
      </c>
      <c r="B5" t="s">
        <v>109</v>
      </c>
      <c r="C5" t="s">
        <v>137</v>
      </c>
      <c r="D5">
        <v>1</v>
      </c>
    </row>
    <row r="6" spans="1:6" x14ac:dyDescent="0.3">
      <c r="A6" t="s">
        <v>264</v>
      </c>
      <c r="B6" t="s">
        <v>265</v>
      </c>
      <c r="C6" t="s">
        <v>269</v>
      </c>
      <c r="D6">
        <v>2</v>
      </c>
    </row>
    <row r="7" spans="1:6" x14ac:dyDescent="0.3">
      <c r="A7" t="s">
        <v>252</v>
      </c>
      <c r="B7" t="s">
        <v>113</v>
      </c>
      <c r="C7" t="s">
        <v>270</v>
      </c>
      <c r="D7">
        <v>2</v>
      </c>
    </row>
    <row r="8" spans="1:6" x14ac:dyDescent="0.3">
      <c r="A8" t="s">
        <v>256</v>
      </c>
      <c r="B8" t="s">
        <v>257</v>
      </c>
      <c r="C8" t="s">
        <v>268</v>
      </c>
      <c r="D8">
        <v>4</v>
      </c>
    </row>
    <row r="9" spans="1:6" x14ac:dyDescent="0.3">
      <c r="A9" t="s">
        <v>258</v>
      </c>
      <c r="B9" t="s">
        <v>259</v>
      </c>
      <c r="C9" t="s">
        <v>271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19921875" defaultRowHeight="15.6" x14ac:dyDescent="0.3"/>
  <cols>
    <col min="2" max="2" width="15.69921875" bestFit="1" customWidth="1"/>
  </cols>
  <sheetData>
    <row r="1" spans="1:7" x14ac:dyDescent="0.3">
      <c r="A1" s="10" t="s">
        <v>11</v>
      </c>
      <c r="B1" s="10" t="s">
        <v>110</v>
      </c>
      <c r="C1" s="10" t="s">
        <v>111</v>
      </c>
      <c r="D1" s="10" t="s">
        <v>112</v>
      </c>
      <c r="E1" s="10" t="s">
        <v>141</v>
      </c>
      <c r="F1" s="10" t="s">
        <v>135</v>
      </c>
    </row>
    <row r="2" spans="1:7" x14ac:dyDescent="0.3">
      <c r="A2" t="s">
        <v>147</v>
      </c>
      <c r="B2" t="s">
        <v>19</v>
      </c>
      <c r="C2" t="s">
        <v>109</v>
      </c>
      <c r="D2">
        <v>1</v>
      </c>
      <c r="F2" t="s">
        <v>136</v>
      </c>
      <c r="G2" t="s">
        <v>142</v>
      </c>
    </row>
    <row r="3" spans="1:7" x14ac:dyDescent="0.3">
      <c r="A3" t="s">
        <v>147</v>
      </c>
      <c r="B3" t="s">
        <v>20</v>
      </c>
      <c r="C3" t="s">
        <v>109</v>
      </c>
      <c r="D3">
        <v>1</v>
      </c>
      <c r="F3" t="s">
        <v>136</v>
      </c>
      <c r="G3" t="s">
        <v>142</v>
      </c>
    </row>
    <row r="4" spans="1:7" x14ac:dyDescent="0.3">
      <c r="A4" t="s">
        <v>147</v>
      </c>
      <c r="B4" t="s">
        <v>21</v>
      </c>
      <c r="C4" t="s">
        <v>109</v>
      </c>
      <c r="D4">
        <v>1</v>
      </c>
      <c r="F4" t="s">
        <v>136</v>
      </c>
      <c r="G4" t="s">
        <v>142</v>
      </c>
    </row>
    <row r="5" spans="1:7" x14ac:dyDescent="0.3">
      <c r="A5" t="s">
        <v>147</v>
      </c>
      <c r="B5" t="s">
        <v>22</v>
      </c>
      <c r="C5" t="s">
        <v>113</v>
      </c>
      <c r="D5">
        <v>2</v>
      </c>
      <c r="E5" t="s">
        <v>46</v>
      </c>
    </row>
    <row r="6" spans="1:7" x14ac:dyDescent="0.3">
      <c r="A6" t="s">
        <v>147</v>
      </c>
      <c r="B6" t="s">
        <v>25</v>
      </c>
      <c r="C6" t="s">
        <v>109</v>
      </c>
      <c r="D6">
        <v>1</v>
      </c>
      <c r="F6" t="s">
        <v>136</v>
      </c>
      <c r="G6" t="s">
        <v>142</v>
      </c>
    </row>
    <row r="7" spans="1:7" x14ac:dyDescent="0.3">
      <c r="A7" t="s">
        <v>147</v>
      </c>
      <c r="B7" t="s">
        <v>24</v>
      </c>
      <c r="C7" t="s">
        <v>109</v>
      </c>
      <c r="D7">
        <v>1</v>
      </c>
      <c r="F7" t="s">
        <v>136</v>
      </c>
      <c r="G7" t="s">
        <v>142</v>
      </c>
    </row>
    <row r="8" spans="1:7" x14ac:dyDescent="0.3">
      <c r="A8" t="s">
        <v>147</v>
      </c>
      <c r="B8" t="s">
        <v>23</v>
      </c>
      <c r="C8" t="s">
        <v>109</v>
      </c>
      <c r="D8">
        <v>1</v>
      </c>
      <c r="F8" t="s">
        <v>136</v>
      </c>
      <c r="G8" t="s">
        <v>142</v>
      </c>
    </row>
    <row r="9" spans="1:7" x14ac:dyDescent="0.3">
      <c r="A9" t="s">
        <v>147</v>
      </c>
      <c r="B9" t="s">
        <v>148</v>
      </c>
      <c r="C9" t="s">
        <v>114</v>
      </c>
      <c r="D9">
        <v>4</v>
      </c>
      <c r="F9" t="s">
        <v>137</v>
      </c>
      <c r="G9" t="s">
        <v>143</v>
      </c>
    </row>
    <row r="10" spans="1:7" x14ac:dyDescent="0.3">
      <c r="A10" t="s">
        <v>147</v>
      </c>
      <c r="B10" t="s">
        <v>149</v>
      </c>
      <c r="C10" t="s">
        <v>115</v>
      </c>
      <c r="D10">
        <v>1</v>
      </c>
      <c r="F10" t="s">
        <v>137</v>
      </c>
      <c r="G10" t="s">
        <v>145</v>
      </c>
    </row>
    <row r="11" spans="1:7" x14ac:dyDescent="0.3">
      <c r="A11" t="s">
        <v>147</v>
      </c>
      <c r="B11" t="s">
        <v>150</v>
      </c>
      <c r="C11" t="s">
        <v>114</v>
      </c>
      <c r="D11">
        <v>4</v>
      </c>
      <c r="F11" t="s">
        <v>138</v>
      </c>
      <c r="G11" t="s">
        <v>143</v>
      </c>
    </row>
    <row r="12" spans="1:7" x14ac:dyDescent="0.3">
      <c r="A12" t="s">
        <v>147</v>
      </c>
      <c r="B12" t="s">
        <v>151</v>
      </c>
      <c r="C12" t="s">
        <v>115</v>
      </c>
      <c r="D12">
        <v>1</v>
      </c>
      <c r="F12" t="s">
        <v>138</v>
      </c>
      <c r="G12" t="s">
        <v>145</v>
      </c>
    </row>
    <row r="13" spans="1:7" x14ac:dyDescent="0.3">
      <c r="A13" t="s">
        <v>147</v>
      </c>
      <c r="B13" t="s">
        <v>26</v>
      </c>
      <c r="C13" t="s">
        <v>116</v>
      </c>
      <c r="D13">
        <v>1</v>
      </c>
      <c r="F13" t="s">
        <v>136</v>
      </c>
      <c r="G13" t="s">
        <v>142</v>
      </c>
    </row>
    <row r="14" spans="1:7" x14ac:dyDescent="0.3">
      <c r="A14" t="s">
        <v>147</v>
      </c>
      <c r="B14" t="s">
        <v>152</v>
      </c>
      <c r="C14" t="s">
        <v>109</v>
      </c>
      <c r="D14">
        <v>1</v>
      </c>
      <c r="F14" t="s">
        <v>136</v>
      </c>
      <c r="G14" t="s">
        <v>142</v>
      </c>
    </row>
    <row r="15" spans="1:7" x14ac:dyDescent="0.3">
      <c r="A15" t="s">
        <v>147</v>
      </c>
      <c r="B15" t="s">
        <v>153</v>
      </c>
      <c r="C15" t="s">
        <v>114</v>
      </c>
      <c r="D15">
        <v>4</v>
      </c>
      <c r="F15" t="s">
        <v>139</v>
      </c>
      <c r="G15" t="s">
        <v>144</v>
      </c>
    </row>
    <row r="16" spans="1:7" x14ac:dyDescent="0.3">
      <c r="A16" t="s">
        <v>147</v>
      </c>
      <c r="B16" t="s">
        <v>154</v>
      </c>
      <c r="C16" t="s">
        <v>114</v>
      </c>
      <c r="D16">
        <v>4</v>
      </c>
      <c r="F16" t="s">
        <v>139</v>
      </c>
      <c r="G16" t="s">
        <v>144</v>
      </c>
    </row>
    <row r="17" spans="1:7" x14ac:dyDescent="0.3">
      <c r="A17" t="s">
        <v>147</v>
      </c>
      <c r="B17" t="s">
        <v>155</v>
      </c>
      <c r="C17" t="s">
        <v>114</v>
      </c>
      <c r="D17">
        <v>4</v>
      </c>
      <c r="F17" t="s">
        <v>140</v>
      </c>
      <c r="G17" t="s">
        <v>145</v>
      </c>
    </row>
    <row r="18" spans="1:7" x14ac:dyDescent="0.3">
      <c r="A18" t="s">
        <v>147</v>
      </c>
      <c r="B18" t="s">
        <v>156</v>
      </c>
      <c r="C18" t="s">
        <v>109</v>
      </c>
      <c r="D18">
        <v>1</v>
      </c>
      <c r="F18" t="s">
        <v>140</v>
      </c>
      <c r="G18" t="s">
        <v>145</v>
      </c>
    </row>
    <row r="19" spans="1:7" x14ac:dyDescent="0.3">
      <c r="A19" t="s">
        <v>157</v>
      </c>
      <c r="B19" s="2" t="s">
        <v>106</v>
      </c>
      <c r="C19" t="s">
        <v>163</v>
      </c>
      <c r="D19">
        <v>4</v>
      </c>
    </row>
    <row r="20" spans="1:7" x14ac:dyDescent="0.3">
      <c r="A20" t="s">
        <v>157</v>
      </c>
      <c r="B20" t="s">
        <v>107</v>
      </c>
      <c r="C20" t="s">
        <v>160</v>
      </c>
      <c r="D20">
        <v>4</v>
      </c>
    </row>
    <row r="21" spans="1:7" x14ac:dyDescent="0.3">
      <c r="A21" t="s">
        <v>157</v>
      </c>
      <c r="B21" t="s">
        <v>158</v>
      </c>
      <c r="C21" t="s">
        <v>162</v>
      </c>
      <c r="D21">
        <v>2</v>
      </c>
    </row>
    <row r="22" spans="1:7" x14ac:dyDescent="0.3">
      <c r="A22" t="s">
        <v>157</v>
      </c>
      <c r="B22" t="s">
        <v>159</v>
      </c>
      <c r="C22" t="s">
        <v>162</v>
      </c>
      <c r="D22">
        <v>2</v>
      </c>
    </row>
    <row r="23" spans="1:7" x14ac:dyDescent="0.3">
      <c r="A23" t="s">
        <v>157</v>
      </c>
      <c r="B23" t="s">
        <v>161</v>
      </c>
      <c r="C23" t="s">
        <v>162</v>
      </c>
      <c r="D23">
        <v>2</v>
      </c>
    </row>
    <row r="24" spans="1:7" x14ac:dyDescent="0.3">
      <c r="A24" t="s">
        <v>157</v>
      </c>
      <c r="B24" s="2" t="s">
        <v>80</v>
      </c>
      <c r="C24" t="s">
        <v>146</v>
      </c>
      <c r="D24">
        <v>4</v>
      </c>
    </row>
    <row r="25" spans="1:7" x14ac:dyDescent="0.3">
      <c r="A25" t="s">
        <v>157</v>
      </c>
      <c r="B25" s="2" t="s">
        <v>81</v>
      </c>
      <c r="C25" t="s">
        <v>146</v>
      </c>
      <c r="D25">
        <v>4</v>
      </c>
    </row>
    <row r="26" spans="1:7" x14ac:dyDescent="0.3">
      <c r="A26" t="s">
        <v>157</v>
      </c>
      <c r="B26" s="2" t="s">
        <v>82</v>
      </c>
      <c r="C26" t="s">
        <v>146</v>
      </c>
      <c r="D26">
        <v>4</v>
      </c>
    </row>
    <row r="27" spans="1:7" x14ac:dyDescent="0.3">
      <c r="A27" t="s">
        <v>157</v>
      </c>
      <c r="B27" s="2" t="s">
        <v>83</v>
      </c>
      <c r="C27" t="s">
        <v>146</v>
      </c>
      <c r="D27">
        <v>4</v>
      </c>
    </row>
    <row r="28" spans="1:7" x14ac:dyDescent="0.3">
      <c r="A28" t="s">
        <v>157</v>
      </c>
      <c r="B28" s="2" t="s">
        <v>84</v>
      </c>
      <c r="C28" t="s">
        <v>146</v>
      </c>
      <c r="D28">
        <v>4</v>
      </c>
    </row>
    <row r="29" spans="1:7" x14ac:dyDescent="0.3">
      <c r="A29" t="s">
        <v>157</v>
      </c>
      <c r="B29" s="2" t="s">
        <v>85</v>
      </c>
      <c r="C29" t="s">
        <v>146</v>
      </c>
      <c r="D29">
        <v>4</v>
      </c>
    </row>
    <row r="30" spans="1:7" x14ac:dyDescent="0.3">
      <c r="A30" t="s">
        <v>157</v>
      </c>
      <c r="B30" s="2" t="s">
        <v>86</v>
      </c>
      <c r="C30" t="s">
        <v>146</v>
      </c>
      <c r="D30">
        <v>4</v>
      </c>
    </row>
    <row r="31" spans="1:7" x14ac:dyDescent="0.3">
      <c r="A31" t="s">
        <v>157</v>
      </c>
      <c r="B31" s="2" t="s">
        <v>87</v>
      </c>
      <c r="C31" t="s">
        <v>146</v>
      </c>
      <c r="D31">
        <v>4</v>
      </c>
    </row>
    <row r="32" spans="1:7" x14ac:dyDescent="0.3">
      <c r="A32" t="s">
        <v>157</v>
      </c>
      <c r="B32" s="2" t="s">
        <v>88</v>
      </c>
      <c r="C32" t="s">
        <v>146</v>
      </c>
      <c r="D32">
        <v>4</v>
      </c>
    </row>
    <row r="33" spans="1:4" x14ac:dyDescent="0.3">
      <c r="A33" t="s">
        <v>157</v>
      </c>
      <c r="B33" s="2" t="s">
        <v>89</v>
      </c>
      <c r="C33" t="s">
        <v>146</v>
      </c>
      <c r="D33">
        <v>4</v>
      </c>
    </row>
    <row r="34" spans="1:4" x14ac:dyDescent="0.3">
      <c r="A34" t="s">
        <v>157</v>
      </c>
      <c r="B34" s="2" t="s">
        <v>90</v>
      </c>
      <c r="C34" t="s">
        <v>146</v>
      </c>
      <c r="D34">
        <v>4</v>
      </c>
    </row>
    <row r="35" spans="1:4" x14ac:dyDescent="0.3">
      <c r="A35" t="s">
        <v>157</v>
      </c>
      <c r="B35" s="2" t="s">
        <v>91</v>
      </c>
      <c r="C35" t="s">
        <v>146</v>
      </c>
      <c r="D35">
        <v>4</v>
      </c>
    </row>
    <row r="36" spans="1:4" x14ac:dyDescent="0.3">
      <c r="A36" t="s">
        <v>157</v>
      </c>
      <c r="B36" s="2" t="s">
        <v>92</v>
      </c>
      <c r="C36" t="s">
        <v>146</v>
      </c>
      <c r="D36">
        <v>4</v>
      </c>
    </row>
    <row r="37" spans="1:4" x14ac:dyDescent="0.3">
      <c r="A37" t="s">
        <v>157</v>
      </c>
      <c r="B37" s="2" t="s">
        <v>93</v>
      </c>
      <c r="C37" t="s">
        <v>146</v>
      </c>
      <c r="D37">
        <v>4</v>
      </c>
    </row>
    <row r="38" spans="1:4" x14ac:dyDescent="0.3">
      <c r="A38" t="s">
        <v>157</v>
      </c>
      <c r="B38" s="2" t="s">
        <v>94</v>
      </c>
      <c r="C38" t="s">
        <v>146</v>
      </c>
      <c r="D38">
        <v>4</v>
      </c>
    </row>
    <row r="39" spans="1:4" x14ac:dyDescent="0.3">
      <c r="A39" t="s">
        <v>157</v>
      </c>
      <c r="B39" s="2" t="s">
        <v>95</v>
      </c>
      <c r="C39" t="s">
        <v>146</v>
      </c>
      <c r="D39">
        <v>4</v>
      </c>
    </row>
    <row r="40" spans="1:4" x14ac:dyDescent="0.3">
      <c r="A40" t="s">
        <v>157</v>
      </c>
      <c r="B40" s="2" t="s">
        <v>96</v>
      </c>
      <c r="C40" t="s">
        <v>146</v>
      </c>
      <c r="D40">
        <v>4</v>
      </c>
    </row>
    <row r="41" spans="1:4" x14ac:dyDescent="0.3">
      <c r="A41" t="s">
        <v>157</v>
      </c>
      <c r="B41" s="2" t="s">
        <v>97</v>
      </c>
      <c r="C41" t="s">
        <v>146</v>
      </c>
      <c r="D41">
        <v>4</v>
      </c>
    </row>
    <row r="42" spans="1:4" x14ac:dyDescent="0.3">
      <c r="A42" t="s">
        <v>157</v>
      </c>
      <c r="B42" s="2" t="s">
        <v>98</v>
      </c>
      <c r="C42" t="s">
        <v>146</v>
      </c>
      <c r="D42">
        <v>4</v>
      </c>
    </row>
    <row r="43" spans="1:4" x14ac:dyDescent="0.3">
      <c r="A43" t="s">
        <v>157</v>
      </c>
      <c r="B43" s="2" t="s">
        <v>99</v>
      </c>
      <c r="C43" t="s">
        <v>146</v>
      </c>
      <c r="D43">
        <v>4</v>
      </c>
    </row>
    <row r="44" spans="1:4" x14ac:dyDescent="0.3">
      <c r="A44" t="s">
        <v>157</v>
      </c>
      <c r="B44" s="2" t="s">
        <v>100</v>
      </c>
      <c r="C44" t="s">
        <v>146</v>
      </c>
      <c r="D44">
        <v>4</v>
      </c>
    </row>
    <row r="45" spans="1:4" x14ac:dyDescent="0.3">
      <c r="A45" t="s">
        <v>157</v>
      </c>
      <c r="B45" s="2" t="s">
        <v>101</v>
      </c>
      <c r="C45" t="s">
        <v>146</v>
      </c>
      <c r="D45">
        <v>4</v>
      </c>
    </row>
    <row r="46" spans="1:4" x14ac:dyDescent="0.3">
      <c r="A46" t="s">
        <v>157</v>
      </c>
      <c r="B46" s="2" t="s">
        <v>102</v>
      </c>
      <c r="C46" t="s">
        <v>146</v>
      </c>
      <c r="D46">
        <v>4</v>
      </c>
    </row>
    <row r="47" spans="1:4" x14ac:dyDescent="0.3">
      <c r="A47" t="s">
        <v>157</v>
      </c>
      <c r="B47" s="2" t="s">
        <v>103</v>
      </c>
      <c r="C47" t="s">
        <v>146</v>
      </c>
      <c r="D47">
        <v>4</v>
      </c>
    </row>
    <row r="48" spans="1:4" x14ac:dyDescent="0.3">
      <c r="A48" t="s">
        <v>157</v>
      </c>
      <c r="B48" s="2" t="s">
        <v>104</v>
      </c>
      <c r="C48" t="s">
        <v>146</v>
      </c>
      <c r="D48">
        <v>4</v>
      </c>
    </row>
    <row r="49" spans="1:4" x14ac:dyDescent="0.3">
      <c r="A49" t="s">
        <v>157</v>
      </c>
      <c r="B49" s="2" t="s">
        <v>105</v>
      </c>
      <c r="C49" t="s">
        <v>146</v>
      </c>
      <c r="D49">
        <v>4</v>
      </c>
    </row>
  </sheetData>
  <phoneticPr fontId="2" type="noConversion"/>
  <conditionalFormatting sqref="B31 B33:B49">
    <cfRule type="containsText" dxfId="3" priority="3" operator="containsText" text="IN USE">
      <formula>NOT(ISERROR(SEARCH("IN USE",B31)))</formula>
    </cfRule>
  </conditionalFormatting>
  <conditionalFormatting sqref="B30">
    <cfRule type="containsText" dxfId="2" priority="2" operator="containsText" text="IN USE">
      <formula>NOT(ISERROR(SEARCH("IN USE",B30)))</formula>
    </cfRule>
  </conditionalFormatting>
  <conditionalFormatting sqref="B19">
    <cfRule type="containsText" dxfId="1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19921875" defaultRowHeight="15.6" x14ac:dyDescent="0.3"/>
  <sheetData>
    <row r="2" spans="2:3" x14ac:dyDescent="0.3">
      <c r="B2" s="9" t="s">
        <v>117</v>
      </c>
    </row>
    <row r="3" spans="2:3" x14ac:dyDescent="0.3">
      <c r="B3" s="9" t="s">
        <v>118</v>
      </c>
    </row>
    <row r="4" spans="2:3" x14ac:dyDescent="0.3">
      <c r="B4" s="9" t="s">
        <v>119</v>
      </c>
    </row>
    <row r="5" spans="2:3" x14ac:dyDescent="0.3">
      <c r="B5" s="11" t="s">
        <v>120</v>
      </c>
    </row>
    <row r="6" spans="2:3" x14ac:dyDescent="0.3">
      <c r="C6" s="6" t="s">
        <v>121</v>
      </c>
    </row>
    <row r="8" spans="2:3" x14ac:dyDescent="0.3">
      <c r="B8" t="s">
        <v>122</v>
      </c>
    </row>
    <row r="10" spans="2:3" x14ac:dyDescent="0.3">
      <c r="C10" s="7" t="s">
        <v>123</v>
      </c>
    </row>
    <row r="11" spans="2:3" x14ac:dyDescent="0.3">
      <c r="B11" s="9"/>
      <c r="C11" s="7" t="s">
        <v>124</v>
      </c>
    </row>
    <row r="12" spans="2:3" x14ac:dyDescent="0.3">
      <c r="B12" s="9"/>
      <c r="C12" s="7" t="s">
        <v>125</v>
      </c>
    </row>
    <row r="13" spans="2:3" x14ac:dyDescent="0.3">
      <c r="B13" s="9"/>
      <c r="C13" s="7" t="s">
        <v>126</v>
      </c>
    </row>
    <row r="14" spans="2:3" x14ac:dyDescent="0.3">
      <c r="B14" s="9"/>
      <c r="C14" s="7" t="s">
        <v>127</v>
      </c>
    </row>
    <row r="15" spans="2:3" x14ac:dyDescent="0.3">
      <c r="B15" s="9"/>
      <c r="C15" s="7" t="s">
        <v>128</v>
      </c>
    </row>
    <row r="16" spans="2:3" x14ac:dyDescent="0.3">
      <c r="B16" s="9"/>
      <c r="C16" s="7" t="s">
        <v>129</v>
      </c>
    </row>
    <row r="17" spans="2:3" x14ac:dyDescent="0.3">
      <c r="B17" s="9"/>
      <c r="C17" s="7" t="s">
        <v>130</v>
      </c>
    </row>
    <row r="18" spans="2:3" x14ac:dyDescent="0.3">
      <c r="B18" s="9"/>
      <c r="C18" s="7" t="s">
        <v>131</v>
      </c>
    </row>
    <row r="19" spans="2:3" x14ac:dyDescent="0.3">
      <c r="B19" s="9"/>
      <c r="C19" s="7" t="s">
        <v>132</v>
      </c>
    </row>
    <row r="20" spans="2:3" x14ac:dyDescent="0.3">
      <c r="B20" s="9"/>
      <c r="C20" s="7" t="s">
        <v>133</v>
      </c>
    </row>
    <row r="21" spans="2:3" x14ac:dyDescent="0.3">
      <c r="B21" s="9"/>
      <c r="C21" s="7" t="s">
        <v>134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2020-11-20T17:40:49Z</dcterms:created>
  <dcterms:modified xsi:type="dcterms:W3CDTF">2023-07-11T21:27:23Z</dcterms:modified>
</cp:coreProperties>
</file>